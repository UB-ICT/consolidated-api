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T" sheetId="1" r:id="rId4"/>
  </sheets>
  <definedNames/>
  <calcPr/>
  <extLst>
    <ext uri="GoogleSheetsCustomDataVersion2">
      <go:sheetsCustomData xmlns:go="http://customooxmlschemas.google.com/" r:id="rId5" roundtripDataChecksum="SMaYwKaKUt4OQ3FyPh1eiAAQjIn7frtV/oVM9BPEDMQ="/>
    </ext>
  </extLst>
</workbook>
</file>

<file path=xl/sharedStrings.xml><?xml version="1.0" encoding="utf-8"?>
<sst xmlns="http://schemas.openxmlformats.org/spreadsheetml/2006/main" count="339" uniqueCount="333">
  <si>
    <t>INFORMATION, COMMUNICATION</t>
  </si>
  <si>
    <t>TOTAL BUDGET</t>
  </si>
  <si>
    <t>PROJECTION</t>
  </si>
  <si>
    <t>VARIANCE</t>
  </si>
  <si>
    <t>AND TECHNOLOGY</t>
  </si>
  <si>
    <t>2026-2027</t>
  </si>
  <si>
    <t>APPROVED</t>
  </si>
  <si>
    <t>Account</t>
  </si>
  <si>
    <t>INDICATIVE</t>
  </si>
  <si>
    <t>TOTAL</t>
  </si>
  <si>
    <t>No.</t>
  </si>
  <si>
    <t>Items</t>
  </si>
  <si>
    <t>BUDGET</t>
  </si>
  <si>
    <t>Tuition and Fees Current Year</t>
  </si>
  <si>
    <t>61200</t>
  </si>
  <si>
    <t>Tuition and Fees Accrued</t>
  </si>
  <si>
    <t>61300</t>
  </si>
  <si>
    <t>Government of Belize - Subvention</t>
  </si>
  <si>
    <t>61600</t>
  </si>
  <si>
    <t>Agri-Business - Central Farm</t>
  </si>
  <si>
    <t>61700</t>
  </si>
  <si>
    <t>Calabash Caye Field Station</t>
  </si>
  <si>
    <t>61902</t>
  </si>
  <si>
    <t>Online Distance Learning (ODL)</t>
  </si>
  <si>
    <t>62301</t>
  </si>
  <si>
    <t>UB FEA Academy</t>
  </si>
  <si>
    <t>62600</t>
  </si>
  <si>
    <t>Other Income</t>
  </si>
  <si>
    <t>62612</t>
  </si>
  <si>
    <t>Course Outlines</t>
  </si>
  <si>
    <t>63501</t>
  </si>
  <si>
    <t>Capital Grant Revenue</t>
  </si>
  <si>
    <t>62500</t>
  </si>
  <si>
    <t>Interest Income</t>
  </si>
  <si>
    <t>62606</t>
  </si>
  <si>
    <t>Total Income</t>
  </si>
  <si>
    <t>Expense Category</t>
  </si>
  <si>
    <t>70100</t>
  </si>
  <si>
    <t>Personal Emoluments</t>
  </si>
  <si>
    <t xml:space="preserve"> </t>
  </si>
  <si>
    <t>70101</t>
  </si>
  <si>
    <t xml:space="preserve">   Salaries (Full Time Permanent)</t>
  </si>
  <si>
    <t>70102</t>
  </si>
  <si>
    <t xml:space="preserve">   Salaries (Adjunct)</t>
  </si>
  <si>
    <t>70103</t>
  </si>
  <si>
    <t xml:space="preserve">   Wages (Un-established Staff)</t>
  </si>
  <si>
    <t>70103.1</t>
  </si>
  <si>
    <t xml:space="preserve">   Wages (Overtime)</t>
  </si>
  <si>
    <t>70104</t>
  </si>
  <si>
    <t xml:space="preserve">   Allowances</t>
  </si>
  <si>
    <t>70105</t>
  </si>
  <si>
    <t xml:space="preserve">   Social Security</t>
  </si>
  <si>
    <t>70106</t>
  </si>
  <si>
    <t xml:space="preserve">   Honorarium</t>
  </si>
  <si>
    <t>70107</t>
  </si>
  <si>
    <t xml:space="preserve">   Ex-Gratia Payment</t>
  </si>
  <si>
    <t>70108</t>
  </si>
  <si>
    <t xml:space="preserve">   Pensions (UB Liabilities)</t>
  </si>
  <si>
    <t>70109</t>
  </si>
  <si>
    <t xml:space="preserve">   Gratuities (Contractual)</t>
  </si>
  <si>
    <t>70110</t>
  </si>
  <si>
    <t xml:space="preserve">   Gratuities (10 years + gratuities liability)</t>
  </si>
  <si>
    <t>70111</t>
  </si>
  <si>
    <t xml:space="preserve">   Health Insurance (Life, Medical, Dental, Optical)</t>
  </si>
  <si>
    <t>70112</t>
  </si>
  <si>
    <t xml:space="preserve">   Study Leave Replacement</t>
  </si>
  <si>
    <t>70113</t>
  </si>
  <si>
    <t xml:space="preserve">   Promotion for Assoc. Prof.</t>
  </si>
  <si>
    <t>70114</t>
  </si>
  <si>
    <t xml:space="preserve">   Promotion Senior Lecturer</t>
  </si>
  <si>
    <t>70115</t>
  </si>
  <si>
    <t xml:space="preserve">   Severance Expense</t>
  </si>
  <si>
    <t>70116</t>
  </si>
  <si>
    <t xml:space="preserve">   Vacation Expense</t>
  </si>
  <si>
    <t>71112</t>
  </si>
  <si>
    <t xml:space="preserve">   Off Sequence</t>
  </si>
  <si>
    <t>71114</t>
  </si>
  <si>
    <t xml:space="preserve">   Deferred Exam</t>
  </si>
  <si>
    <t>70200</t>
  </si>
  <si>
    <t>Travel &amp; Subsistence</t>
  </si>
  <si>
    <t>70201</t>
  </si>
  <si>
    <t xml:space="preserve">   Mileage</t>
  </si>
  <si>
    <t>70202</t>
  </si>
  <si>
    <t xml:space="preserve">   Subsistence</t>
  </si>
  <si>
    <t>70203</t>
  </si>
  <si>
    <t xml:space="preserve">   Foreign Travel</t>
  </si>
  <si>
    <t>70204</t>
  </si>
  <si>
    <t xml:space="preserve">   Other Travel Expenditures</t>
  </si>
  <si>
    <t>70300</t>
  </si>
  <si>
    <t>Materials &amp; Supplies</t>
  </si>
  <si>
    <t>70301</t>
  </si>
  <si>
    <t xml:space="preserve">   Office Supplies</t>
  </si>
  <si>
    <t>70302</t>
  </si>
  <si>
    <t xml:space="preserve">   Books &amp; Periodicals</t>
  </si>
  <si>
    <t>70303</t>
  </si>
  <si>
    <t xml:space="preserve">   Medical &amp; Laboratory Supplies</t>
  </si>
  <si>
    <t>70304</t>
  </si>
  <si>
    <t xml:space="preserve">   Uniforms</t>
  </si>
  <si>
    <t>70305</t>
  </si>
  <si>
    <t xml:space="preserve">   Household Sundries</t>
  </si>
  <si>
    <t>70306</t>
  </si>
  <si>
    <t xml:space="preserve">   Food</t>
  </si>
  <si>
    <t>70307</t>
  </si>
  <si>
    <t xml:space="preserve">   Spraying Supplies</t>
  </si>
  <si>
    <t>70308</t>
  </si>
  <si>
    <t xml:space="preserve">   Spares - Farm Machinery Equip.</t>
  </si>
  <si>
    <t>70309</t>
  </si>
  <si>
    <t xml:space="preserve">   Animal Feed</t>
  </si>
  <si>
    <t>70310</t>
  </si>
  <si>
    <t xml:space="preserve">   Animal Pasture</t>
  </si>
  <si>
    <t>70311</t>
  </si>
  <si>
    <t xml:space="preserve">   Production Supplies</t>
  </si>
  <si>
    <t>70312</t>
  </si>
  <si>
    <t xml:space="preserve">   School Supplies</t>
  </si>
  <si>
    <t>70313</t>
  </si>
  <si>
    <t xml:space="preserve">   Building &amp; Construction Supplies</t>
  </si>
  <si>
    <t>70314</t>
  </si>
  <si>
    <t xml:space="preserve">   Computer Supplies</t>
  </si>
  <si>
    <t>70315</t>
  </si>
  <si>
    <t xml:space="preserve">   Other Office Equipment</t>
  </si>
  <si>
    <t>70316</t>
  </si>
  <si>
    <t xml:space="preserve">   Other Laboratory Supplies</t>
  </si>
  <si>
    <t>70317</t>
  </si>
  <si>
    <t xml:space="preserve">   Test Equipment</t>
  </si>
  <si>
    <t>70318</t>
  </si>
  <si>
    <t xml:space="preserve">   Other Equipment</t>
  </si>
  <si>
    <t>70319</t>
  </si>
  <si>
    <t xml:space="preserve">   Teaching Supplies</t>
  </si>
  <si>
    <t>71318</t>
  </si>
  <si>
    <t xml:space="preserve">   Meals Supplies</t>
  </si>
  <si>
    <t>70400</t>
  </si>
  <si>
    <t>Operating Costs</t>
  </si>
  <si>
    <t>70401</t>
  </si>
  <si>
    <t xml:space="preserve">   Fuel</t>
  </si>
  <si>
    <t>70402</t>
  </si>
  <si>
    <t xml:space="preserve">   Advertising</t>
  </si>
  <si>
    <t>70403</t>
  </si>
  <si>
    <t xml:space="preserve">   Miscellaneous</t>
  </si>
  <si>
    <t>70404</t>
  </si>
  <si>
    <t xml:space="preserve">   Building Construction</t>
  </si>
  <si>
    <t>70405</t>
  </si>
  <si>
    <t xml:space="preserve">   Mail Delivery</t>
  </si>
  <si>
    <t>70406</t>
  </si>
  <si>
    <t xml:space="preserve">   Office Cleaning (House Keeping)</t>
  </si>
  <si>
    <t>70407</t>
  </si>
  <si>
    <t xml:space="preserve">   Garbage Disposal</t>
  </si>
  <si>
    <t>70409</t>
  </si>
  <si>
    <t xml:space="preserve">   Insurance - Computers</t>
  </si>
  <si>
    <t>70410</t>
  </si>
  <si>
    <t xml:space="preserve">   Insurance - Buildings</t>
  </si>
  <si>
    <t>70411</t>
  </si>
  <si>
    <t xml:space="preserve">   Insurance - Furniture, Equipment</t>
  </si>
  <si>
    <t>70412</t>
  </si>
  <si>
    <t xml:space="preserve">   Insurance - Motor Vehicles</t>
  </si>
  <si>
    <t>70413</t>
  </si>
  <si>
    <t xml:space="preserve">   Insurance - Liab &amp; Other</t>
  </si>
  <si>
    <t>70414</t>
  </si>
  <si>
    <t xml:space="preserve">   Bank Charges</t>
  </si>
  <si>
    <t>70415</t>
  </si>
  <si>
    <t xml:space="preserve">   Bereavement Expeneses</t>
  </si>
  <si>
    <t>70416</t>
  </si>
  <si>
    <t xml:space="preserve">   Employment Expense</t>
  </si>
  <si>
    <t>70417</t>
  </si>
  <si>
    <t xml:space="preserve">   Entertainment</t>
  </si>
  <si>
    <t>70418</t>
  </si>
  <si>
    <t xml:space="preserve">   Insurance - - Machinery &amp; Equip</t>
  </si>
  <si>
    <t>70419</t>
  </si>
  <si>
    <t xml:space="preserve">   Tax Assessmnt/Soc Sec Penalties</t>
  </si>
  <si>
    <t>70422</t>
  </si>
  <si>
    <t xml:space="preserve">   Collection Expense</t>
  </si>
  <si>
    <t>70423</t>
  </si>
  <si>
    <t xml:space="preserve">   Loss on Exchange Rate</t>
  </si>
  <si>
    <t>70424</t>
  </si>
  <si>
    <t xml:space="preserve">   Capital Financing Costs</t>
  </si>
  <si>
    <t>71101</t>
  </si>
  <si>
    <t xml:space="preserve">   Recruitment</t>
  </si>
  <si>
    <t>71102</t>
  </si>
  <si>
    <t xml:space="preserve">   Orientation</t>
  </si>
  <si>
    <t>71103</t>
  </si>
  <si>
    <t xml:space="preserve">   Registration</t>
  </si>
  <si>
    <t>71104</t>
  </si>
  <si>
    <t xml:space="preserve">   Graduation</t>
  </si>
  <si>
    <t>71105</t>
  </si>
  <si>
    <t xml:space="preserve">   Physical Education &amp; Sports</t>
  </si>
  <si>
    <t>71106</t>
  </si>
  <si>
    <t xml:space="preserve">   Field Trips</t>
  </si>
  <si>
    <t>71107</t>
  </si>
  <si>
    <t xml:space="preserve">   Programming</t>
  </si>
  <si>
    <t>71107.1</t>
  </si>
  <si>
    <t xml:space="preserve">   UB Anniversary</t>
  </si>
  <si>
    <t>71107.2</t>
  </si>
  <si>
    <t xml:space="preserve">   Recognition &amp; Awards</t>
  </si>
  <si>
    <t>71107.3</t>
  </si>
  <si>
    <t xml:space="preserve">   Socializing</t>
  </si>
  <si>
    <t>71107.4</t>
  </si>
  <si>
    <t xml:space="preserve">   Donation</t>
  </si>
  <si>
    <t>71108</t>
  </si>
  <si>
    <t xml:space="preserve">   Student Services</t>
  </si>
  <si>
    <t>71109</t>
  </si>
  <si>
    <t xml:space="preserve">   Publications / Reports</t>
  </si>
  <si>
    <t>71110</t>
  </si>
  <si>
    <t xml:space="preserve">   RLC stipend</t>
  </si>
  <si>
    <t>71111</t>
  </si>
  <si>
    <t xml:space="preserve">   UB Scholarships</t>
  </si>
  <si>
    <t>71116</t>
  </si>
  <si>
    <t xml:space="preserve">   Sponsorship Expense</t>
  </si>
  <si>
    <t>71204</t>
  </si>
  <si>
    <t xml:space="preserve">   Brokerage/ Custome Fees</t>
  </si>
  <si>
    <t>70500</t>
  </si>
  <si>
    <t>Maintenance Costs</t>
  </si>
  <si>
    <t>70501</t>
  </si>
  <si>
    <t xml:space="preserve">   Maintenance of Buildings</t>
  </si>
  <si>
    <t>70502</t>
  </si>
  <si>
    <t xml:space="preserve">   Maintenance of Grounds</t>
  </si>
  <si>
    <t>70503</t>
  </si>
  <si>
    <t xml:space="preserve">   Repairs &amp; Maintenance of Furn. &amp; Equip.</t>
  </si>
  <si>
    <t>70504</t>
  </si>
  <si>
    <t xml:space="preserve">   Repairs &amp; Maintenance of Vehicles</t>
  </si>
  <si>
    <t>70523</t>
  </si>
  <si>
    <t xml:space="preserve">   Maintenance of Computer Hardware</t>
  </si>
  <si>
    <t>70524</t>
  </si>
  <si>
    <t xml:space="preserve">   Maintenance of Computer Software</t>
  </si>
  <si>
    <t>70525</t>
  </si>
  <si>
    <t xml:space="preserve">   Maintenance of Classroom &amp; Lab. Equip.</t>
  </si>
  <si>
    <t>70526</t>
  </si>
  <si>
    <t xml:space="preserve">   Maintenance of Other Equipment</t>
  </si>
  <si>
    <t>70537</t>
  </si>
  <si>
    <t>Depreciation Expense</t>
  </si>
  <si>
    <t xml:space="preserve">   Depreciation</t>
  </si>
  <si>
    <t>70600</t>
  </si>
  <si>
    <t>Training</t>
  </si>
  <si>
    <t>70408</t>
  </si>
  <si>
    <t xml:space="preserve">   Conference</t>
  </si>
  <si>
    <t>70601</t>
  </si>
  <si>
    <t xml:space="preserve">   Courses/Seminars</t>
  </si>
  <si>
    <t>70602</t>
  </si>
  <si>
    <t xml:space="preserve">   Workshops</t>
  </si>
  <si>
    <t>70603</t>
  </si>
  <si>
    <t xml:space="preserve">   Training Books and Materials</t>
  </si>
  <si>
    <t>70700</t>
  </si>
  <si>
    <t>Professional Services</t>
  </si>
  <si>
    <t>70701</t>
  </si>
  <si>
    <t xml:space="preserve">   Compensation - Auditing</t>
  </si>
  <si>
    <t>70702</t>
  </si>
  <si>
    <t xml:space="preserve">   Compensation - Legal</t>
  </si>
  <si>
    <t>70703</t>
  </si>
  <si>
    <t xml:space="preserve">   Consultancy</t>
  </si>
  <si>
    <t>70704</t>
  </si>
  <si>
    <t xml:space="preserve">   Service Contract</t>
  </si>
  <si>
    <t>70704.1</t>
  </si>
  <si>
    <t xml:space="preserve">   Service Agreement</t>
  </si>
  <si>
    <t>70705</t>
  </si>
  <si>
    <t xml:space="preserve">   Translation</t>
  </si>
  <si>
    <t>71202</t>
  </si>
  <si>
    <t xml:space="preserve">   Other Outside Services</t>
  </si>
  <si>
    <t>70800</t>
  </si>
  <si>
    <t>Public Utilities</t>
  </si>
  <si>
    <t>70801</t>
  </si>
  <si>
    <t xml:space="preserve">   Electricity</t>
  </si>
  <si>
    <t>70802</t>
  </si>
  <si>
    <t xml:space="preserve">   Gas - Butane</t>
  </si>
  <si>
    <t>70803</t>
  </si>
  <si>
    <t xml:space="preserve">   Water</t>
  </si>
  <si>
    <t>70804</t>
  </si>
  <si>
    <t xml:space="preserve">   Telephones</t>
  </si>
  <si>
    <t>70805</t>
  </si>
  <si>
    <t xml:space="preserve">   Internet</t>
  </si>
  <si>
    <t>70900</t>
  </si>
  <si>
    <t>Contributions, Licences &amp; Subscriptions</t>
  </si>
  <si>
    <t>70901</t>
  </si>
  <si>
    <t xml:space="preserve">   Individual Research</t>
  </si>
  <si>
    <t>70902</t>
  </si>
  <si>
    <t xml:space="preserve">   ATLIB</t>
  </si>
  <si>
    <t>70903</t>
  </si>
  <si>
    <t xml:space="preserve">   ACTI</t>
  </si>
  <si>
    <t>70904</t>
  </si>
  <si>
    <t xml:space="preserve">   COBEC</t>
  </si>
  <si>
    <t>70905</t>
  </si>
  <si>
    <t xml:space="preserve">   CSUCA</t>
  </si>
  <si>
    <t>70906</t>
  </si>
  <si>
    <t xml:space="preserve">   Others</t>
  </si>
  <si>
    <t>70920</t>
  </si>
  <si>
    <t>UB Scholarships &amp; Grants</t>
  </si>
  <si>
    <t xml:space="preserve">   UB Scholarships &amp; Grants</t>
  </si>
  <si>
    <t>71000</t>
  </si>
  <si>
    <t>Rents</t>
  </si>
  <si>
    <t>71001</t>
  </si>
  <si>
    <t xml:space="preserve">   Rental of Office Space</t>
  </si>
  <si>
    <t>71002</t>
  </si>
  <si>
    <t xml:space="preserve">   Housing for Visiting Faculty</t>
  </si>
  <si>
    <t>71003</t>
  </si>
  <si>
    <t xml:space="preserve">   Rental of Other Buildings</t>
  </si>
  <si>
    <t>71004</t>
  </si>
  <si>
    <t xml:space="preserve">   Rental of Office Equipment</t>
  </si>
  <si>
    <t>71005</t>
  </si>
  <si>
    <t xml:space="preserve">   Rental of Other Equipment</t>
  </si>
  <si>
    <t>71006</t>
  </si>
  <si>
    <t xml:space="preserve">   Rental of Vehicles</t>
  </si>
  <si>
    <t>71007</t>
  </si>
  <si>
    <t xml:space="preserve">   Other Rentals</t>
  </si>
  <si>
    <t>71113</t>
  </si>
  <si>
    <t>Contingencies</t>
  </si>
  <si>
    <t xml:space="preserve">   Contingencies</t>
  </si>
  <si>
    <t>Other Expense</t>
  </si>
  <si>
    <t>71115</t>
  </si>
  <si>
    <t xml:space="preserve">   Discount</t>
  </si>
  <si>
    <t>72001</t>
  </si>
  <si>
    <t xml:space="preserve">   Loss on write-down inventory</t>
  </si>
  <si>
    <t>72002</t>
  </si>
  <si>
    <t xml:space="preserve">   Bad Debt Expense</t>
  </si>
  <si>
    <t>72003</t>
  </si>
  <si>
    <t xml:space="preserve">   Loss on Disposal of Assets</t>
  </si>
  <si>
    <t>72004</t>
  </si>
  <si>
    <t xml:space="preserve">   Tuition Waiver Expense</t>
  </si>
  <si>
    <t xml:space="preserve">   Total Recurrent Expenditures</t>
  </si>
  <si>
    <t>15100</t>
  </si>
  <si>
    <t>Capital Expenditures</t>
  </si>
  <si>
    <t>15101</t>
  </si>
  <si>
    <t xml:space="preserve">   Land &amp; Land Improvements</t>
  </si>
  <si>
    <t>15102</t>
  </si>
  <si>
    <t xml:space="preserve">   Buildings &amp; Bldg Improvements</t>
  </si>
  <si>
    <t>15103</t>
  </si>
  <si>
    <t xml:space="preserve">   Office Furniture &amp; Fixtures</t>
  </si>
  <si>
    <t>15104</t>
  </si>
  <si>
    <t xml:space="preserve">   Motor Vehilces</t>
  </si>
  <si>
    <t>15105</t>
  </si>
  <si>
    <t xml:space="preserve">   Computer &amp; Equipment</t>
  </si>
  <si>
    <t>15106</t>
  </si>
  <si>
    <t xml:space="preserve">   Machinery &amp; Equipment</t>
  </si>
  <si>
    <t>15107</t>
  </si>
  <si>
    <t xml:space="preserve">   Lab Equipment</t>
  </si>
  <si>
    <t>15109</t>
  </si>
  <si>
    <t xml:space="preserve">   Capital Work in Progresss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</si>
</sst>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[$$-1004]* #,##0_);_([$$-1004]* \(#,##0\);_([$$-1004]* &quot;-&quot;_);_(@_)"/>
    <numFmt numFmtId="165" formatCode="_(* #,##0_);_(* \(#,##0\);_(* &quot;-&quot;_);_(@_)"/>
    <numFmt numFmtId="166" formatCode="#,##0.00;\-#,##0.00"/>
    <numFmt numFmtId="167" formatCode="_(* #,##0.00_);_(* \(#,##0.00\);_(* &quot;-&quot;??_);_(@_)"/>
    <numFmt numFmtId="168" formatCode="_([$$-1004]* #,##0.00_);_([$$-1004]* \(#,##0.00\);_([$$-1004]* &quot;-&quot;_);_(@_)"/>
  </numFmts>
  <fonts count="24">
    <font>
      <sz val="10.0"/>
      <color rgb="FF000000"/>
      <name val="Arial"/>
      <scheme val="minor"/>
    </font>
    <font>
      <sz val="10.0"/>
      <color theme="1"/>
      <name val="Times New Roman"/>
    </font>
    <font>
      <b/>
      <u/>
      <sz val="12.0"/>
      <color rgb="FFFF0000"/>
      <name val="Times New Roman"/>
    </font>
    <font>
      <sz val="10.0"/>
      <color theme="1"/>
      <name val="Arial"/>
    </font>
    <font>
      <b/>
      <sz val="12.0"/>
      <color theme="1"/>
      <name val="Times New Roman"/>
    </font>
    <font/>
    <font>
      <b/>
      <sz val="16.0"/>
      <color theme="1"/>
      <name val="Times New Roman"/>
    </font>
    <font>
      <b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i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b/>
      <u/>
      <sz val="10.0"/>
      <color theme="1"/>
      <name val="Times New Roman"/>
    </font>
    <font>
      <sz val="8.0"/>
      <color rgb="FF323232"/>
      <name val="Arial"/>
    </font>
    <font>
      <sz val="8.0"/>
      <color rgb="FF000000"/>
      <name val="Arial"/>
    </font>
    <font>
      <i/>
      <sz val="10.0"/>
      <color theme="1"/>
      <name val="Times New Roman"/>
    </font>
    <font>
      <u/>
      <sz val="10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  <fill>
      <patternFill patternType="solid">
        <fgColor rgb="FFCCFFFF"/>
        <bgColor rgb="FFCCFFFF"/>
      </patternFill>
    </fill>
    <fill>
      <patternFill patternType="solid">
        <fgColor rgb="FFD8D8D8"/>
        <bgColor rgb="FFD8D8D8"/>
      </patternFill>
    </fill>
  </fills>
  <borders count="14">
    <border/>
    <border>
      <left style="thin">
        <color rgb="FFBFBFBF"/>
      </lef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/>
      <right/>
      <top/>
      <bottom/>
    </border>
    <border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1" fillId="0" fontId="4" numFmtId="0" xfId="0" applyAlignment="1" applyBorder="1" applyFont="1">
      <alignment horizontal="center"/>
    </xf>
    <xf borderId="2" fillId="0" fontId="5" numFmtId="0" xfId="0" applyBorder="1" applyFont="1"/>
    <xf borderId="3" fillId="0" fontId="6" numFmtId="164" xfId="0" applyAlignment="1" applyBorder="1" applyFont="1" applyNumberFormat="1">
      <alignment horizontal="center"/>
    </xf>
    <xf borderId="4" fillId="0" fontId="5" numFmtId="0" xfId="0" applyBorder="1" applyFont="1"/>
    <xf borderId="0" fillId="0" fontId="7" numFmtId="0" xfId="0" applyAlignment="1" applyFont="1">
      <alignment horizontal="center"/>
    </xf>
    <xf borderId="0" fillId="0" fontId="7" numFmtId="0" xfId="0" applyFont="1"/>
    <xf borderId="5" fillId="2" fontId="7" numFmtId="0" xfId="0" applyAlignment="1" applyBorder="1" applyFill="1" applyFont="1">
      <alignment horizontal="center"/>
    </xf>
    <xf borderId="5" fillId="3" fontId="7" numFmtId="0" xfId="0" applyAlignment="1" applyBorder="1" applyFill="1" applyFont="1">
      <alignment horizontal="center"/>
    </xf>
    <xf borderId="5" fillId="4" fontId="7" numFmtId="0" xfId="0" applyAlignment="1" applyBorder="1" applyFill="1" applyFont="1">
      <alignment horizontal="center"/>
    </xf>
    <xf borderId="0" fillId="0" fontId="8" numFmtId="165" xfId="0" applyAlignment="1" applyFont="1" applyNumberFormat="1">
      <alignment horizontal="center"/>
    </xf>
    <xf borderId="5" fillId="4" fontId="7" numFmtId="0" xfId="0" applyBorder="1" applyFont="1"/>
    <xf borderId="0" fillId="0" fontId="9" numFmtId="165" xfId="0" applyAlignment="1" applyFont="1" applyNumberFormat="1">
      <alignment horizontal="left"/>
    </xf>
    <xf borderId="5" fillId="2" fontId="10" numFmtId="0" xfId="0" applyAlignment="1" applyBorder="1" applyFont="1">
      <alignment horizontal="center"/>
    </xf>
    <xf borderId="5" fillId="3" fontId="11" numFmtId="17" xfId="0" applyAlignment="1" applyBorder="1" applyFont="1" applyNumberFormat="1">
      <alignment horizontal="center"/>
    </xf>
    <xf borderId="5" fillId="4" fontId="12" numFmtId="0" xfId="0" applyAlignment="1" applyBorder="1" applyFont="1">
      <alignment horizontal="center"/>
    </xf>
    <xf borderId="6" fillId="0" fontId="13" numFmtId="0" xfId="0" applyAlignment="1" applyBorder="1" applyFont="1">
      <alignment horizontal="center"/>
    </xf>
    <xf borderId="6" fillId="0" fontId="14" numFmtId="17" xfId="0" applyAlignment="1" applyBorder="1" applyFont="1" applyNumberFormat="1">
      <alignment horizontal="center"/>
    </xf>
    <xf borderId="0" fillId="0" fontId="15" numFmtId="17" xfId="0" applyAlignment="1" applyFont="1" applyNumberFormat="1">
      <alignment horizontal="center"/>
    </xf>
    <xf borderId="0" fillId="0" fontId="16" numFmtId="49" xfId="0" applyAlignment="1" applyFont="1" applyNumberFormat="1">
      <alignment horizontal="center"/>
    </xf>
    <xf borderId="7" fillId="2" fontId="1" numFmtId="165" xfId="0" applyBorder="1" applyFont="1" applyNumberFormat="1"/>
    <xf borderId="8" fillId="0" fontId="1" numFmtId="165" xfId="0" applyBorder="1" applyFont="1" applyNumberFormat="1"/>
    <xf borderId="9" fillId="0" fontId="1" numFmtId="165" xfId="0" applyBorder="1" applyFont="1" applyNumberFormat="1"/>
    <xf borderId="10" fillId="0" fontId="1" numFmtId="165" xfId="0" applyBorder="1" applyFont="1" applyNumberFormat="1"/>
    <xf borderId="11" fillId="0" fontId="1" numFmtId="165" xfId="0" applyBorder="1" applyFont="1" applyNumberFormat="1"/>
    <xf borderId="0" fillId="0" fontId="17" numFmtId="0" xfId="0" applyAlignment="1" applyFont="1">
      <alignment horizontal="center"/>
    </xf>
    <xf borderId="0" fillId="0" fontId="18" numFmtId="164" xfId="0" applyFont="1" applyNumberFormat="1"/>
    <xf borderId="0" fillId="0" fontId="1" numFmtId="164" xfId="0" applyFont="1" applyNumberFormat="1"/>
    <xf borderId="0" fillId="0" fontId="19" numFmtId="0" xfId="0" applyFont="1"/>
    <xf borderId="0" fillId="0" fontId="3" numFmtId="164" xfId="0" applyFont="1" applyNumberFormat="1"/>
    <xf borderId="0" fillId="0" fontId="20" numFmtId="166" xfId="0" applyFont="1" applyNumberFormat="1"/>
    <xf borderId="0" fillId="0" fontId="21" numFmtId="166" xfId="0" applyFont="1" applyNumberFormat="1"/>
    <xf borderId="0" fillId="0" fontId="22" numFmtId="0" xfId="0" applyFont="1"/>
    <xf borderId="12" fillId="5" fontId="1" numFmtId="165" xfId="0" applyBorder="1" applyFill="1" applyFont="1" applyNumberFormat="1"/>
    <xf borderId="13" fillId="6" fontId="1" numFmtId="165" xfId="0" applyBorder="1" applyFill="1" applyFont="1" applyNumberFormat="1"/>
    <xf borderId="0" fillId="0" fontId="3" numFmtId="167" xfId="0" applyFont="1" applyNumberFormat="1"/>
    <xf borderId="0" fillId="0" fontId="3" numFmtId="165" xfId="0" applyFont="1" applyNumberFormat="1"/>
    <xf quotePrefix="1" borderId="0" fillId="0" fontId="16" numFmtId="49" xfId="0" applyAlignment="1" applyFont="1" applyNumberFormat="1">
      <alignment horizontal="center"/>
    </xf>
    <xf borderId="0" fillId="0" fontId="1" numFmtId="165" xfId="0" applyFont="1" applyNumberFormat="1"/>
    <xf borderId="0" fillId="0" fontId="7" numFmtId="0" xfId="0" applyAlignment="1" applyFont="1">
      <alignment horizontal="right"/>
    </xf>
    <xf borderId="7" fillId="2" fontId="23" numFmtId="165" xfId="0" applyBorder="1" applyFont="1" applyNumberFormat="1"/>
    <xf borderId="0" fillId="0" fontId="1" numFmtId="167" xfId="0" applyFont="1" applyNumberFormat="1"/>
    <xf borderId="0" fillId="0" fontId="1" numFmtId="168" xfId="0" applyFont="1" applyNumberFormat="1"/>
  </cellXfs>
  <cellStyles count="1">
    <cellStyle xfId="0" name="Normal" builtinId="0"/>
  </cellStyles>
  <dxfs count="1"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 fitToPage="1"/>
  </sheetPr>
  <sheetViews>
    <sheetView showGridLines="0"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8.88"/>
    <col customWidth="1" min="2" max="2" width="56.88"/>
    <col customWidth="1" min="3" max="3" width="13.38"/>
    <col customWidth="1" min="4" max="5" width="12.13"/>
    <col customWidth="1" min="6" max="6" width="13.0"/>
    <col customWidth="1" min="7" max="7" width="12.13"/>
    <col customWidth="1" min="8" max="8" width="13.0"/>
    <col customWidth="1" min="9" max="15" width="12.13"/>
    <col customWidth="1" min="16" max="16" width="13.38"/>
    <col customWidth="1" min="17" max="17" width="12.88"/>
    <col customWidth="1" min="18" max="18" width="11.25"/>
    <col customWidth="1" min="19" max="19" width="9.13"/>
    <col customWidth="1" min="20" max="26" width="8.63"/>
  </cols>
  <sheetData>
    <row r="1" ht="13.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0" customHeight="1">
      <c r="A2" s="1"/>
      <c r="B2" s="2"/>
      <c r="C2" s="1"/>
      <c r="D2" s="1"/>
      <c r="E2" s="4" t="s">
        <v>1</v>
      </c>
      <c r="F2" s="5"/>
      <c r="G2" s="1"/>
      <c r="H2" s="4" t="s">
        <v>2</v>
      </c>
      <c r="I2" s="5"/>
      <c r="J2" s="1"/>
      <c r="K2" s="4" t="s">
        <v>3</v>
      </c>
      <c r="L2" s="5"/>
      <c r="M2" s="1"/>
      <c r="N2" s="1"/>
      <c r="O2" s="1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5.5" customHeight="1">
      <c r="A3" s="1"/>
      <c r="B3" s="2"/>
      <c r="C3" s="1"/>
      <c r="D3" s="1"/>
      <c r="E3" s="6">
        <f>C194</f>
        <v>1548088.972</v>
      </c>
      <c r="F3" s="7"/>
      <c r="G3" s="1"/>
      <c r="H3" s="6">
        <f>P194</f>
        <v>0</v>
      </c>
      <c r="I3" s="7"/>
      <c r="J3" s="1"/>
      <c r="K3" s="6">
        <f>Q194</f>
        <v>1548088.972</v>
      </c>
      <c r="L3" s="7"/>
      <c r="M3" s="1"/>
      <c r="N3" s="1"/>
      <c r="O3" s="1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1"/>
      <c r="B5" s="2" t="s">
        <v>4</v>
      </c>
      <c r="C5" s="8" t="s">
        <v>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1"/>
      <c r="B6" s="9"/>
      <c r="C6" s="10" t="s">
        <v>6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  <c r="Q6" s="12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13" t="s">
        <v>7</v>
      </c>
      <c r="B7" s="9"/>
      <c r="C7" s="10" t="s">
        <v>8</v>
      </c>
      <c r="D7" s="11" t="s">
        <v>2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2" t="s">
        <v>9</v>
      </c>
      <c r="Q7" s="14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13" t="s">
        <v>10</v>
      </c>
      <c r="B8" s="15" t="s">
        <v>11</v>
      </c>
      <c r="C8" s="16" t="s">
        <v>12</v>
      </c>
      <c r="D8" s="17">
        <v>46235.0</v>
      </c>
      <c r="E8" s="17">
        <v>46266.0</v>
      </c>
      <c r="F8" s="17">
        <v>46296.0</v>
      </c>
      <c r="G8" s="17">
        <v>46327.0</v>
      </c>
      <c r="H8" s="17">
        <v>46357.0</v>
      </c>
      <c r="I8" s="17">
        <v>46388.0</v>
      </c>
      <c r="J8" s="17">
        <v>46419.0</v>
      </c>
      <c r="K8" s="17">
        <v>46447.0</v>
      </c>
      <c r="L8" s="17">
        <v>46478.0</v>
      </c>
      <c r="M8" s="17">
        <v>46508.0</v>
      </c>
      <c r="N8" s="17">
        <v>46539.0</v>
      </c>
      <c r="O8" s="17">
        <v>46569.0</v>
      </c>
      <c r="P8" s="18" t="s">
        <v>2</v>
      </c>
      <c r="Q8" s="18" t="s">
        <v>3</v>
      </c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13"/>
      <c r="B9" s="15"/>
      <c r="C9" s="19"/>
      <c r="D9" s="20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19"/>
      <c r="Q9" s="19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22">
        <v>61100.0</v>
      </c>
      <c r="B10" s="1" t="s">
        <v>13</v>
      </c>
      <c r="C10" s="23"/>
      <c r="D10" s="24"/>
      <c r="E10" s="25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7">
        <f t="shared" ref="P10:P21" si="1">SUM(D10,E10,F10,G10,H10,I10,J10,K10,L10,M10,N10,O10)</f>
        <v>0</v>
      </c>
      <c r="Q10" s="25">
        <f t="shared" ref="Q10:Q21" si="2">P10-C10</f>
        <v>0</v>
      </c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22" t="s">
        <v>14</v>
      </c>
      <c r="B11" s="1" t="s">
        <v>15</v>
      </c>
      <c r="C11" s="23"/>
      <c r="D11" s="24"/>
      <c r="E11" s="24"/>
      <c r="F11" s="24"/>
      <c r="G11" s="24"/>
      <c r="H11" s="24"/>
      <c r="I11" s="26"/>
      <c r="J11" s="26"/>
      <c r="K11" s="26"/>
      <c r="L11" s="26"/>
      <c r="M11" s="26"/>
      <c r="N11" s="26"/>
      <c r="O11" s="26"/>
      <c r="P11" s="27">
        <f t="shared" si="1"/>
        <v>0</v>
      </c>
      <c r="Q11" s="25">
        <f t="shared" si="2"/>
        <v>0</v>
      </c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22" t="s">
        <v>16</v>
      </c>
      <c r="B12" s="1" t="s">
        <v>17</v>
      </c>
      <c r="C12" s="23"/>
      <c r="D12" s="24"/>
      <c r="E12" s="24"/>
      <c r="F12" s="24"/>
      <c r="G12" s="24"/>
      <c r="H12" s="24"/>
      <c r="I12" s="26"/>
      <c r="J12" s="26"/>
      <c r="K12" s="26"/>
      <c r="L12" s="26"/>
      <c r="M12" s="26"/>
      <c r="N12" s="26"/>
      <c r="O12" s="26"/>
      <c r="P12" s="27">
        <f t="shared" si="1"/>
        <v>0</v>
      </c>
      <c r="Q12" s="25">
        <f t="shared" si="2"/>
        <v>0</v>
      </c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22" t="s">
        <v>18</v>
      </c>
      <c r="B13" s="1" t="s">
        <v>19</v>
      </c>
      <c r="C13" s="23"/>
      <c r="D13" s="24"/>
      <c r="E13" s="24"/>
      <c r="F13" s="24"/>
      <c r="G13" s="24"/>
      <c r="H13" s="24"/>
      <c r="I13" s="26"/>
      <c r="J13" s="26"/>
      <c r="K13" s="26"/>
      <c r="L13" s="26"/>
      <c r="M13" s="26"/>
      <c r="N13" s="26"/>
      <c r="O13" s="26"/>
      <c r="P13" s="27">
        <f t="shared" si="1"/>
        <v>0</v>
      </c>
      <c r="Q13" s="25">
        <f t="shared" si="2"/>
        <v>0</v>
      </c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22" t="s">
        <v>20</v>
      </c>
      <c r="B14" s="1" t="s">
        <v>21</v>
      </c>
      <c r="C14" s="23"/>
      <c r="D14" s="24"/>
      <c r="E14" s="24"/>
      <c r="F14" s="24"/>
      <c r="G14" s="24"/>
      <c r="H14" s="24"/>
      <c r="I14" s="26"/>
      <c r="J14" s="26"/>
      <c r="K14" s="26"/>
      <c r="L14" s="26"/>
      <c r="M14" s="26"/>
      <c r="N14" s="26"/>
      <c r="O14" s="26"/>
      <c r="P14" s="27">
        <f t="shared" si="1"/>
        <v>0</v>
      </c>
      <c r="Q14" s="25">
        <f t="shared" si="2"/>
        <v>0</v>
      </c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22" t="s">
        <v>22</v>
      </c>
      <c r="B15" s="1" t="s">
        <v>23</v>
      </c>
      <c r="C15" s="23"/>
      <c r="D15" s="24"/>
      <c r="E15" s="24"/>
      <c r="F15" s="24"/>
      <c r="G15" s="24"/>
      <c r="H15" s="24"/>
      <c r="I15" s="26"/>
      <c r="J15" s="26"/>
      <c r="K15" s="26"/>
      <c r="L15" s="26"/>
      <c r="M15" s="26"/>
      <c r="N15" s="26"/>
      <c r="O15" s="26"/>
      <c r="P15" s="27">
        <f t="shared" si="1"/>
        <v>0</v>
      </c>
      <c r="Q15" s="25">
        <f t="shared" si="2"/>
        <v>0</v>
      </c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22" t="s">
        <v>24</v>
      </c>
      <c r="B16" s="1" t="s">
        <v>25</v>
      </c>
      <c r="C16" s="23"/>
      <c r="D16" s="24"/>
      <c r="E16" s="24"/>
      <c r="F16" s="24"/>
      <c r="G16" s="24"/>
      <c r="H16" s="24"/>
      <c r="I16" s="26"/>
      <c r="J16" s="26"/>
      <c r="K16" s="26"/>
      <c r="L16" s="26"/>
      <c r="M16" s="26"/>
      <c r="N16" s="26"/>
      <c r="O16" s="26"/>
      <c r="P16" s="27">
        <f t="shared" si="1"/>
        <v>0</v>
      </c>
      <c r="Q16" s="25">
        <f t="shared" si="2"/>
        <v>0</v>
      </c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22" t="s">
        <v>26</v>
      </c>
      <c r="B17" s="1" t="s">
        <v>27</v>
      </c>
      <c r="C17" s="23"/>
      <c r="D17" s="24"/>
      <c r="E17" s="24"/>
      <c r="F17" s="24"/>
      <c r="G17" s="24"/>
      <c r="H17" s="24"/>
      <c r="I17" s="26"/>
      <c r="J17" s="26"/>
      <c r="K17" s="26"/>
      <c r="L17" s="26"/>
      <c r="M17" s="26"/>
      <c r="N17" s="26"/>
      <c r="O17" s="26"/>
      <c r="P17" s="27">
        <f t="shared" si="1"/>
        <v>0</v>
      </c>
      <c r="Q17" s="25">
        <f t="shared" si="2"/>
        <v>0</v>
      </c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22" t="s">
        <v>28</v>
      </c>
      <c r="B18" s="1" t="s">
        <v>29</v>
      </c>
      <c r="C18" s="23"/>
      <c r="D18" s="24"/>
      <c r="E18" s="24"/>
      <c r="F18" s="24"/>
      <c r="G18" s="24"/>
      <c r="H18" s="24"/>
      <c r="I18" s="26"/>
      <c r="J18" s="26"/>
      <c r="K18" s="26"/>
      <c r="L18" s="26"/>
      <c r="M18" s="26"/>
      <c r="N18" s="26"/>
      <c r="O18" s="26"/>
      <c r="P18" s="27">
        <f t="shared" si="1"/>
        <v>0</v>
      </c>
      <c r="Q18" s="25">
        <f t="shared" si="2"/>
        <v>0</v>
      </c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22" t="s">
        <v>30</v>
      </c>
      <c r="B19" s="1" t="s">
        <v>31</v>
      </c>
      <c r="C19" s="23"/>
      <c r="D19" s="24"/>
      <c r="E19" s="24"/>
      <c r="F19" s="24"/>
      <c r="G19" s="24"/>
      <c r="H19" s="24"/>
      <c r="I19" s="26"/>
      <c r="J19" s="26"/>
      <c r="K19" s="26"/>
      <c r="L19" s="26"/>
      <c r="M19" s="26"/>
      <c r="N19" s="26"/>
      <c r="O19" s="26"/>
      <c r="P19" s="27">
        <f t="shared" si="1"/>
        <v>0</v>
      </c>
      <c r="Q19" s="25">
        <f t="shared" si="2"/>
        <v>0</v>
      </c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22" t="s">
        <v>32</v>
      </c>
      <c r="B20" s="1" t="s">
        <v>33</v>
      </c>
      <c r="C20" s="23"/>
      <c r="D20" s="24"/>
      <c r="E20" s="24"/>
      <c r="F20" s="24"/>
      <c r="G20" s="24"/>
      <c r="H20" s="24"/>
      <c r="I20" s="26"/>
      <c r="J20" s="26"/>
      <c r="K20" s="26"/>
      <c r="L20" s="26"/>
      <c r="M20" s="26"/>
      <c r="N20" s="26"/>
      <c r="O20" s="26"/>
      <c r="P20" s="27">
        <f t="shared" si="1"/>
        <v>0</v>
      </c>
      <c r="Q20" s="25">
        <f t="shared" si="2"/>
        <v>0</v>
      </c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22" t="s">
        <v>34</v>
      </c>
      <c r="B21" s="15"/>
      <c r="C21" s="23"/>
      <c r="D21" s="24"/>
      <c r="E21" s="24"/>
      <c r="F21" s="24"/>
      <c r="G21" s="24"/>
      <c r="H21" s="24"/>
      <c r="I21" s="26"/>
      <c r="J21" s="26"/>
      <c r="K21" s="26"/>
      <c r="L21" s="26"/>
      <c r="M21" s="26"/>
      <c r="N21" s="26"/>
      <c r="O21" s="26"/>
      <c r="P21" s="27">
        <f t="shared" si="1"/>
        <v>0</v>
      </c>
      <c r="Q21" s="25">
        <f t="shared" si="2"/>
        <v>0</v>
      </c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13"/>
      <c r="C22" s="28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8"/>
      <c r="Q22" s="28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13"/>
      <c r="B23" s="15" t="s">
        <v>35</v>
      </c>
      <c r="C23" s="29">
        <f t="shared" ref="C23:Q23" si="3">SUM(C10:C21)</f>
        <v>0</v>
      </c>
      <c r="D23" s="29">
        <f t="shared" si="3"/>
        <v>0</v>
      </c>
      <c r="E23" s="29">
        <f t="shared" si="3"/>
        <v>0</v>
      </c>
      <c r="F23" s="29">
        <f t="shared" si="3"/>
        <v>0</v>
      </c>
      <c r="G23" s="29">
        <f t="shared" si="3"/>
        <v>0</v>
      </c>
      <c r="H23" s="29">
        <f t="shared" si="3"/>
        <v>0</v>
      </c>
      <c r="I23" s="29">
        <f t="shared" si="3"/>
        <v>0</v>
      </c>
      <c r="J23" s="29">
        <f t="shared" si="3"/>
        <v>0</v>
      </c>
      <c r="K23" s="29">
        <f t="shared" si="3"/>
        <v>0</v>
      </c>
      <c r="L23" s="29">
        <f t="shared" si="3"/>
        <v>0</v>
      </c>
      <c r="M23" s="29">
        <f t="shared" si="3"/>
        <v>0</v>
      </c>
      <c r="N23" s="29">
        <f t="shared" si="3"/>
        <v>0</v>
      </c>
      <c r="O23" s="29">
        <f t="shared" si="3"/>
        <v>0</v>
      </c>
      <c r="P23" s="29">
        <f t="shared" si="3"/>
        <v>0</v>
      </c>
      <c r="Q23" s="29">
        <f t="shared" si="3"/>
        <v>0</v>
      </c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13"/>
      <c r="B24" s="15"/>
      <c r="C24" s="28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8"/>
      <c r="Q24" s="28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"/>
      <c r="B25" s="15" t="s">
        <v>36</v>
      </c>
      <c r="C25" s="1"/>
      <c r="D25" s="30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22" t="s">
        <v>37</v>
      </c>
      <c r="B26" s="31" t="s">
        <v>38</v>
      </c>
      <c r="C26" s="29">
        <f t="shared" ref="C26:Q26" si="4">SUM(C28:C46)</f>
        <v>764829.5422</v>
      </c>
      <c r="D26" s="29">
        <f t="shared" si="4"/>
        <v>0</v>
      </c>
      <c r="E26" s="29">
        <f t="shared" si="4"/>
        <v>0</v>
      </c>
      <c r="F26" s="29">
        <f t="shared" si="4"/>
        <v>0</v>
      </c>
      <c r="G26" s="29">
        <f t="shared" si="4"/>
        <v>0</v>
      </c>
      <c r="H26" s="29">
        <f t="shared" si="4"/>
        <v>0</v>
      </c>
      <c r="I26" s="29">
        <f t="shared" si="4"/>
        <v>0</v>
      </c>
      <c r="J26" s="29">
        <f t="shared" si="4"/>
        <v>0</v>
      </c>
      <c r="K26" s="29">
        <f t="shared" si="4"/>
        <v>0</v>
      </c>
      <c r="L26" s="29">
        <f t="shared" si="4"/>
        <v>0</v>
      </c>
      <c r="M26" s="29">
        <f t="shared" si="4"/>
        <v>0</v>
      </c>
      <c r="N26" s="29">
        <f t="shared" si="4"/>
        <v>0</v>
      </c>
      <c r="O26" s="29">
        <f t="shared" si="4"/>
        <v>0</v>
      </c>
      <c r="P26" s="29">
        <f t="shared" si="4"/>
        <v>0</v>
      </c>
      <c r="Q26" s="29">
        <f t="shared" si="4"/>
        <v>764829.5422</v>
      </c>
      <c r="R26" s="32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"/>
      <c r="B27" s="9" t="s">
        <v>39</v>
      </c>
      <c r="C27" s="1"/>
      <c r="D27" s="33"/>
      <c r="E27" s="33"/>
      <c r="F27" s="33"/>
      <c r="G27" s="33"/>
      <c r="H27" s="33"/>
      <c r="I27" s="33"/>
      <c r="J27" s="33"/>
      <c r="K27" s="33"/>
      <c r="L27" s="34"/>
      <c r="M27" s="34"/>
      <c r="N27" s="34"/>
      <c r="O27" s="1"/>
      <c r="P27" s="3"/>
      <c r="Q27" s="3"/>
      <c r="R27" s="32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22" t="s">
        <v>40</v>
      </c>
      <c r="B28" s="35" t="s">
        <v>41</v>
      </c>
      <c r="C28" s="23">
        <v>667371.6057121443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7">
        <f t="shared" ref="P28:P46" si="5">SUM(D28,E28,F28,G28,H28,I28,J28,K28,L28,M28,N28,O28)</f>
        <v>0</v>
      </c>
      <c r="Q28" s="37">
        <f t="shared" ref="Q28:Q46" si="6">C28-P28</f>
        <v>667371.6057</v>
      </c>
      <c r="R28" s="38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22" t="s">
        <v>42</v>
      </c>
      <c r="B29" s="35" t="s">
        <v>43</v>
      </c>
      <c r="C29" s="23">
        <v>0.0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7">
        <f t="shared" si="5"/>
        <v>0</v>
      </c>
      <c r="Q29" s="37">
        <f t="shared" si="6"/>
        <v>0</v>
      </c>
      <c r="R29" s="38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22" t="s">
        <v>44</v>
      </c>
      <c r="B30" s="35" t="s">
        <v>45</v>
      </c>
      <c r="C30" s="23">
        <v>0.0</v>
      </c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7">
        <f t="shared" si="5"/>
        <v>0</v>
      </c>
      <c r="Q30" s="37">
        <f t="shared" si="6"/>
        <v>0</v>
      </c>
      <c r="R30" s="38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22" t="s">
        <v>46</v>
      </c>
      <c r="B31" s="35" t="s">
        <v>47</v>
      </c>
      <c r="C31" s="23">
        <v>0.0</v>
      </c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7">
        <f t="shared" si="5"/>
        <v>0</v>
      </c>
      <c r="Q31" s="37">
        <f t="shared" si="6"/>
        <v>0</v>
      </c>
      <c r="R31" s="38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22" t="s">
        <v>48</v>
      </c>
      <c r="B32" s="35" t="s">
        <v>49</v>
      </c>
      <c r="C32" s="23">
        <v>20127.84</v>
      </c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7">
        <f t="shared" si="5"/>
        <v>0</v>
      </c>
      <c r="Q32" s="37">
        <f t="shared" si="6"/>
        <v>20127.84</v>
      </c>
      <c r="R32" s="38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22" t="s">
        <v>50</v>
      </c>
      <c r="B33" s="35" t="s">
        <v>51</v>
      </c>
      <c r="C33" s="23">
        <v>25884.040000000005</v>
      </c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7">
        <f t="shared" si="5"/>
        <v>0</v>
      </c>
      <c r="Q33" s="37">
        <f t="shared" si="6"/>
        <v>25884.04</v>
      </c>
      <c r="R33" s="38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22" t="s">
        <v>52</v>
      </c>
      <c r="B34" s="35" t="s">
        <v>53</v>
      </c>
      <c r="C34" s="23">
        <v>0.0</v>
      </c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>
        <f t="shared" si="5"/>
        <v>0</v>
      </c>
      <c r="Q34" s="37">
        <f t="shared" si="6"/>
        <v>0</v>
      </c>
      <c r="R34" s="38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22" t="s">
        <v>54</v>
      </c>
      <c r="B35" s="35" t="s">
        <v>55</v>
      </c>
      <c r="C35" s="23">
        <v>0.0</v>
      </c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7">
        <f t="shared" si="5"/>
        <v>0</v>
      </c>
      <c r="Q35" s="37">
        <f t="shared" si="6"/>
        <v>0</v>
      </c>
      <c r="R35" s="38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22" t="s">
        <v>56</v>
      </c>
      <c r="B36" s="35" t="s">
        <v>57</v>
      </c>
      <c r="C36" s="23">
        <v>0.0</v>
      </c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7">
        <f t="shared" si="5"/>
        <v>0</v>
      </c>
      <c r="Q36" s="37">
        <f t="shared" si="6"/>
        <v>0</v>
      </c>
      <c r="R36" s="38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22" t="s">
        <v>58</v>
      </c>
      <c r="B37" s="35" t="s">
        <v>59</v>
      </c>
      <c r="C37" s="23">
        <v>11464.456499999998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7">
        <f t="shared" si="5"/>
        <v>0</v>
      </c>
      <c r="Q37" s="37">
        <f t="shared" si="6"/>
        <v>11464.4565</v>
      </c>
      <c r="R37" s="38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22" t="s">
        <v>60</v>
      </c>
      <c r="B38" s="35" t="s">
        <v>61</v>
      </c>
      <c r="C38" s="23">
        <v>0.0</v>
      </c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7">
        <f t="shared" si="5"/>
        <v>0</v>
      </c>
      <c r="Q38" s="37">
        <f t="shared" si="6"/>
        <v>0</v>
      </c>
      <c r="R38" s="38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22" t="s">
        <v>62</v>
      </c>
      <c r="B39" s="35" t="s">
        <v>63</v>
      </c>
      <c r="C39" s="23">
        <v>39981.600000000006</v>
      </c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7">
        <f t="shared" si="5"/>
        <v>0</v>
      </c>
      <c r="Q39" s="37">
        <f t="shared" si="6"/>
        <v>39981.6</v>
      </c>
      <c r="R39" s="38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22" t="s">
        <v>64</v>
      </c>
      <c r="B40" s="35" t="s">
        <v>65</v>
      </c>
      <c r="C40" s="23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7">
        <f t="shared" si="5"/>
        <v>0</v>
      </c>
      <c r="Q40" s="37">
        <f t="shared" si="6"/>
        <v>0</v>
      </c>
      <c r="R40" s="38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22" t="s">
        <v>66</v>
      </c>
      <c r="B41" s="35" t="s">
        <v>67</v>
      </c>
      <c r="C41" s="23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7">
        <f t="shared" si="5"/>
        <v>0</v>
      </c>
      <c r="Q41" s="37">
        <f t="shared" si="6"/>
        <v>0</v>
      </c>
      <c r="R41" s="38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22" t="s">
        <v>68</v>
      </c>
      <c r="B42" s="35" t="s">
        <v>69</v>
      </c>
      <c r="C42" s="23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7">
        <f t="shared" si="5"/>
        <v>0</v>
      </c>
      <c r="Q42" s="37">
        <f t="shared" si="6"/>
        <v>0</v>
      </c>
      <c r="R42" s="38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22" t="s">
        <v>70</v>
      </c>
      <c r="B43" s="35" t="s">
        <v>71</v>
      </c>
      <c r="C43" s="23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7">
        <f t="shared" si="5"/>
        <v>0</v>
      </c>
      <c r="Q43" s="37">
        <f t="shared" si="6"/>
        <v>0</v>
      </c>
      <c r="R43" s="38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22" t="s">
        <v>72</v>
      </c>
      <c r="B44" s="35" t="s">
        <v>73</v>
      </c>
      <c r="C44" s="23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7">
        <f t="shared" si="5"/>
        <v>0</v>
      </c>
      <c r="Q44" s="37">
        <f t="shared" si="6"/>
        <v>0</v>
      </c>
      <c r="R44" s="38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22" t="s">
        <v>74</v>
      </c>
      <c r="B45" s="35" t="s">
        <v>75</v>
      </c>
      <c r="C45" s="23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7">
        <f t="shared" si="5"/>
        <v>0</v>
      </c>
      <c r="Q45" s="37">
        <f t="shared" si="6"/>
        <v>0</v>
      </c>
      <c r="R45" s="38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22" t="s">
        <v>76</v>
      </c>
      <c r="B46" s="35" t="s">
        <v>77</v>
      </c>
      <c r="C46" s="23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7">
        <f t="shared" si="5"/>
        <v>0</v>
      </c>
      <c r="Q46" s="37">
        <f t="shared" si="6"/>
        <v>0</v>
      </c>
      <c r="R46" s="38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"/>
      <c r="B47" s="9"/>
      <c r="C47" s="1"/>
      <c r="D47" s="33"/>
      <c r="E47" s="33"/>
      <c r="F47" s="33"/>
      <c r="G47" s="33"/>
      <c r="H47" s="33"/>
      <c r="I47" s="33"/>
      <c r="J47" s="33"/>
      <c r="K47" s="33"/>
      <c r="L47" s="34"/>
      <c r="M47" s="34"/>
      <c r="N47" s="34"/>
      <c r="O47" s="1"/>
      <c r="P47" s="3"/>
      <c r="Q47" s="3"/>
      <c r="R47" s="38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22" t="s">
        <v>78</v>
      </c>
      <c r="B48" s="31" t="s">
        <v>79</v>
      </c>
      <c r="C48" s="29">
        <f t="shared" ref="C48:Q48" si="7">SUM(C50:C53)</f>
        <v>16600</v>
      </c>
      <c r="D48" s="29">
        <f t="shared" si="7"/>
        <v>0</v>
      </c>
      <c r="E48" s="29">
        <f t="shared" si="7"/>
        <v>0</v>
      </c>
      <c r="F48" s="29">
        <f t="shared" si="7"/>
        <v>0</v>
      </c>
      <c r="G48" s="29">
        <f t="shared" si="7"/>
        <v>0</v>
      </c>
      <c r="H48" s="29">
        <f t="shared" si="7"/>
        <v>0</v>
      </c>
      <c r="I48" s="29">
        <f t="shared" si="7"/>
        <v>0</v>
      </c>
      <c r="J48" s="29">
        <f t="shared" si="7"/>
        <v>0</v>
      </c>
      <c r="K48" s="29">
        <f t="shared" si="7"/>
        <v>0</v>
      </c>
      <c r="L48" s="29">
        <f t="shared" si="7"/>
        <v>0</v>
      </c>
      <c r="M48" s="29">
        <f t="shared" si="7"/>
        <v>0</v>
      </c>
      <c r="N48" s="29">
        <f t="shared" si="7"/>
        <v>0</v>
      </c>
      <c r="O48" s="29">
        <f t="shared" si="7"/>
        <v>0</v>
      </c>
      <c r="P48" s="29">
        <f t="shared" si="7"/>
        <v>0</v>
      </c>
      <c r="Q48" s="29">
        <f t="shared" si="7"/>
        <v>16600</v>
      </c>
      <c r="R48" s="38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"/>
      <c r="B49" s="9"/>
      <c r="C49" s="1"/>
      <c r="D49" s="33"/>
      <c r="E49" s="33"/>
      <c r="F49" s="33"/>
      <c r="G49" s="33"/>
      <c r="H49" s="33"/>
      <c r="I49" s="33"/>
      <c r="J49" s="33"/>
      <c r="K49" s="33"/>
      <c r="L49" s="34"/>
      <c r="M49" s="34"/>
      <c r="N49" s="34"/>
      <c r="O49" s="1"/>
      <c r="P49" s="3"/>
      <c r="Q49" s="3"/>
      <c r="R49" s="38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22" t="s">
        <v>80</v>
      </c>
      <c r="B50" s="35" t="s">
        <v>81</v>
      </c>
      <c r="C50" s="23">
        <v>4600.0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7">
        <f t="shared" ref="P50:P53" si="8">SUM(D50,E50,F50,G50,H50,I50,J50,K50,L50,M50,N50,O50)</f>
        <v>0</v>
      </c>
      <c r="Q50" s="37">
        <f t="shared" ref="Q50:Q53" si="9">C50-P50</f>
        <v>4600</v>
      </c>
      <c r="R50" s="38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22" t="s">
        <v>82</v>
      </c>
      <c r="B51" s="35" t="s">
        <v>83</v>
      </c>
      <c r="C51" s="23">
        <v>2000.0</v>
      </c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7">
        <f t="shared" si="8"/>
        <v>0</v>
      </c>
      <c r="Q51" s="37">
        <f t="shared" si="9"/>
        <v>2000</v>
      </c>
      <c r="R51" s="38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22" t="s">
        <v>84</v>
      </c>
      <c r="B52" s="35" t="s">
        <v>85</v>
      </c>
      <c r="C52" s="23">
        <v>6000.0</v>
      </c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7">
        <f t="shared" si="8"/>
        <v>0</v>
      </c>
      <c r="Q52" s="37">
        <f t="shared" si="9"/>
        <v>6000</v>
      </c>
      <c r="R52" s="38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22" t="s">
        <v>86</v>
      </c>
      <c r="B53" s="35" t="s">
        <v>87</v>
      </c>
      <c r="C53" s="23">
        <v>4000.0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7">
        <f t="shared" si="8"/>
        <v>0</v>
      </c>
      <c r="Q53" s="37">
        <f t="shared" si="9"/>
        <v>4000</v>
      </c>
      <c r="R53" s="38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"/>
      <c r="B54" s="9"/>
      <c r="C54" s="1"/>
      <c r="D54" s="33"/>
      <c r="E54" s="33"/>
      <c r="F54" s="33"/>
      <c r="G54" s="33"/>
      <c r="H54" s="33"/>
      <c r="I54" s="33"/>
      <c r="J54" s="33"/>
      <c r="K54" s="33"/>
      <c r="L54" s="34"/>
      <c r="M54" s="34"/>
      <c r="N54" s="34"/>
      <c r="O54" s="1"/>
      <c r="P54" s="3"/>
      <c r="Q54" s="3"/>
      <c r="R54" s="38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22" t="s">
        <v>88</v>
      </c>
      <c r="B55" s="31" t="s">
        <v>89</v>
      </c>
      <c r="C55" s="29">
        <f t="shared" ref="C55:Q55" si="10">SUM(C57:C76)</f>
        <v>126300</v>
      </c>
      <c r="D55" s="29">
        <f t="shared" si="10"/>
        <v>0</v>
      </c>
      <c r="E55" s="29">
        <f t="shared" si="10"/>
        <v>0</v>
      </c>
      <c r="F55" s="29">
        <f t="shared" si="10"/>
        <v>0</v>
      </c>
      <c r="G55" s="29">
        <f t="shared" si="10"/>
        <v>0</v>
      </c>
      <c r="H55" s="29">
        <f t="shared" si="10"/>
        <v>0</v>
      </c>
      <c r="I55" s="29">
        <f t="shared" si="10"/>
        <v>0</v>
      </c>
      <c r="J55" s="29">
        <f t="shared" si="10"/>
        <v>0</v>
      </c>
      <c r="K55" s="29">
        <f t="shared" si="10"/>
        <v>0</v>
      </c>
      <c r="L55" s="29">
        <f t="shared" si="10"/>
        <v>0</v>
      </c>
      <c r="M55" s="29">
        <f t="shared" si="10"/>
        <v>0</v>
      </c>
      <c r="N55" s="29">
        <f t="shared" si="10"/>
        <v>0</v>
      </c>
      <c r="O55" s="29">
        <f t="shared" si="10"/>
        <v>0</v>
      </c>
      <c r="P55" s="29">
        <f t="shared" si="10"/>
        <v>0</v>
      </c>
      <c r="Q55" s="29">
        <f t="shared" si="10"/>
        <v>126300</v>
      </c>
      <c r="R55" s="38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"/>
      <c r="B56" s="9"/>
      <c r="C56" s="1"/>
      <c r="D56" s="33"/>
      <c r="E56" s="33"/>
      <c r="F56" s="33"/>
      <c r="G56" s="33"/>
      <c r="H56" s="33"/>
      <c r="I56" s="33"/>
      <c r="J56" s="33"/>
      <c r="K56" s="33"/>
      <c r="L56" s="34"/>
      <c r="M56" s="34"/>
      <c r="N56" s="34"/>
      <c r="O56" s="1"/>
      <c r="P56" s="3"/>
      <c r="Q56" s="3"/>
      <c r="R56" s="38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22" t="s">
        <v>90</v>
      </c>
      <c r="B57" s="35" t="s">
        <v>91</v>
      </c>
      <c r="C57" s="23">
        <v>1000.0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7">
        <f t="shared" ref="P57:P76" si="11">SUM(D57,E57,F57,G57,H57,I57,J57,K57,L57,M57,N57,O57)</f>
        <v>0</v>
      </c>
      <c r="Q57" s="37">
        <f t="shared" ref="Q57:Q76" si="12">C57-P57</f>
        <v>1000</v>
      </c>
      <c r="R57" s="38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22" t="s">
        <v>92</v>
      </c>
      <c r="B58" s="35" t="s">
        <v>93</v>
      </c>
      <c r="C58" s="23">
        <v>0.0</v>
      </c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7">
        <f t="shared" si="11"/>
        <v>0</v>
      </c>
      <c r="Q58" s="37">
        <f t="shared" si="12"/>
        <v>0</v>
      </c>
      <c r="R58" s="38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22" t="s">
        <v>94</v>
      </c>
      <c r="B59" s="35" t="s">
        <v>95</v>
      </c>
      <c r="C59" s="23">
        <v>0.0</v>
      </c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7">
        <f t="shared" si="11"/>
        <v>0</v>
      </c>
      <c r="Q59" s="37">
        <f t="shared" si="12"/>
        <v>0</v>
      </c>
      <c r="R59" s="38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22" t="s">
        <v>96</v>
      </c>
      <c r="B60" s="35" t="s">
        <v>97</v>
      </c>
      <c r="C60" s="23">
        <v>0.0</v>
      </c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7">
        <f t="shared" si="11"/>
        <v>0</v>
      </c>
      <c r="Q60" s="37">
        <f t="shared" si="12"/>
        <v>0</v>
      </c>
      <c r="R60" s="38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22" t="s">
        <v>98</v>
      </c>
      <c r="B61" s="35" t="s">
        <v>99</v>
      </c>
      <c r="C61" s="23">
        <v>0.0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7">
        <f t="shared" si="11"/>
        <v>0</v>
      </c>
      <c r="Q61" s="37">
        <f t="shared" si="12"/>
        <v>0</v>
      </c>
      <c r="R61" s="38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22" t="s">
        <v>100</v>
      </c>
      <c r="B62" s="35" t="s">
        <v>101</v>
      </c>
      <c r="C62" s="23">
        <v>800.0</v>
      </c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7">
        <f t="shared" si="11"/>
        <v>0</v>
      </c>
      <c r="Q62" s="37">
        <f t="shared" si="12"/>
        <v>800</v>
      </c>
      <c r="R62" s="38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22" t="s">
        <v>102</v>
      </c>
      <c r="B63" s="35" t="s">
        <v>103</v>
      </c>
      <c r="C63" s="23">
        <v>0.0</v>
      </c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7">
        <f t="shared" si="11"/>
        <v>0</v>
      </c>
      <c r="Q63" s="37">
        <f t="shared" si="12"/>
        <v>0</v>
      </c>
      <c r="R63" s="38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22" t="s">
        <v>104</v>
      </c>
      <c r="B64" s="35" t="s">
        <v>105</v>
      </c>
      <c r="C64" s="23">
        <v>0.0</v>
      </c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7">
        <f t="shared" si="11"/>
        <v>0</v>
      </c>
      <c r="Q64" s="37">
        <f t="shared" si="12"/>
        <v>0</v>
      </c>
      <c r="R64" s="38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22" t="s">
        <v>106</v>
      </c>
      <c r="B65" s="35" t="s">
        <v>107</v>
      </c>
      <c r="C65" s="23">
        <v>0.0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7">
        <f t="shared" si="11"/>
        <v>0</v>
      </c>
      <c r="Q65" s="37">
        <f t="shared" si="12"/>
        <v>0</v>
      </c>
      <c r="R65" s="38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22" t="s">
        <v>108</v>
      </c>
      <c r="B66" s="35" t="s">
        <v>109</v>
      </c>
      <c r="C66" s="23">
        <v>0.0</v>
      </c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7">
        <f t="shared" si="11"/>
        <v>0</v>
      </c>
      <c r="Q66" s="37">
        <f t="shared" si="12"/>
        <v>0</v>
      </c>
      <c r="R66" s="38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22" t="s">
        <v>110</v>
      </c>
      <c r="B67" s="35" t="s">
        <v>111</v>
      </c>
      <c r="C67" s="23">
        <v>0.0</v>
      </c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7">
        <f t="shared" si="11"/>
        <v>0</v>
      </c>
      <c r="Q67" s="37">
        <f t="shared" si="12"/>
        <v>0</v>
      </c>
      <c r="R67" s="38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22" t="s">
        <v>112</v>
      </c>
      <c r="B68" s="35" t="s">
        <v>113</v>
      </c>
      <c r="C68" s="23">
        <v>0.0</v>
      </c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7">
        <f t="shared" si="11"/>
        <v>0</v>
      </c>
      <c r="Q68" s="37">
        <f t="shared" si="12"/>
        <v>0</v>
      </c>
      <c r="R68" s="38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22" t="s">
        <v>114</v>
      </c>
      <c r="B69" s="35" t="s">
        <v>115</v>
      </c>
      <c r="C69" s="23">
        <v>0.0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7">
        <f t="shared" si="11"/>
        <v>0</v>
      </c>
      <c r="Q69" s="37">
        <f t="shared" si="12"/>
        <v>0</v>
      </c>
      <c r="R69" s="38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22" t="s">
        <v>116</v>
      </c>
      <c r="B70" s="35" t="s">
        <v>117</v>
      </c>
      <c r="C70" s="23">
        <v>120000.0</v>
      </c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7">
        <f t="shared" si="11"/>
        <v>0</v>
      </c>
      <c r="Q70" s="37">
        <f t="shared" si="12"/>
        <v>120000</v>
      </c>
      <c r="R70" s="38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22" t="s">
        <v>118</v>
      </c>
      <c r="B71" s="35" t="s">
        <v>119</v>
      </c>
      <c r="C71" s="23">
        <v>4500.0</v>
      </c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7">
        <f t="shared" si="11"/>
        <v>0</v>
      </c>
      <c r="Q71" s="37">
        <f t="shared" si="12"/>
        <v>4500</v>
      </c>
      <c r="R71" s="38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22" t="s">
        <v>120</v>
      </c>
      <c r="B72" s="35" t="s">
        <v>121</v>
      </c>
      <c r="C72" s="23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7">
        <f t="shared" si="11"/>
        <v>0</v>
      </c>
      <c r="Q72" s="37">
        <f t="shared" si="12"/>
        <v>0</v>
      </c>
      <c r="R72" s="38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22" t="s">
        <v>122</v>
      </c>
      <c r="B73" s="35" t="s">
        <v>123</v>
      </c>
      <c r="C73" s="23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7">
        <f t="shared" si="11"/>
        <v>0</v>
      </c>
      <c r="Q73" s="37">
        <f t="shared" si="12"/>
        <v>0</v>
      </c>
      <c r="R73" s="38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22" t="s">
        <v>124</v>
      </c>
      <c r="B74" s="35" t="s">
        <v>125</v>
      </c>
      <c r="C74" s="23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7">
        <f t="shared" si="11"/>
        <v>0</v>
      </c>
      <c r="Q74" s="37">
        <f t="shared" si="12"/>
        <v>0</v>
      </c>
      <c r="R74" s="38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22" t="s">
        <v>126</v>
      </c>
      <c r="B75" s="35" t="s">
        <v>127</v>
      </c>
      <c r="C75" s="23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7">
        <f t="shared" si="11"/>
        <v>0</v>
      </c>
      <c r="Q75" s="37">
        <f t="shared" si="12"/>
        <v>0</v>
      </c>
      <c r="R75" s="38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22" t="s">
        <v>128</v>
      </c>
      <c r="B76" s="35" t="s">
        <v>129</v>
      </c>
      <c r="C76" s="23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7">
        <f t="shared" si="11"/>
        <v>0</v>
      </c>
      <c r="Q76" s="37">
        <f t="shared" si="12"/>
        <v>0</v>
      </c>
      <c r="R76" s="38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22"/>
      <c r="B77" s="35"/>
      <c r="C77" s="1"/>
      <c r="D77" s="33"/>
      <c r="E77" s="33"/>
      <c r="F77" s="33"/>
      <c r="G77" s="33"/>
      <c r="H77" s="33"/>
      <c r="I77" s="33"/>
      <c r="J77" s="33"/>
      <c r="K77" s="33"/>
      <c r="L77" s="34"/>
      <c r="M77" s="34"/>
      <c r="N77" s="34"/>
      <c r="O77" s="1"/>
      <c r="P77" s="39"/>
      <c r="Q77" s="39"/>
      <c r="R77" s="38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22" t="s">
        <v>130</v>
      </c>
      <c r="B78" s="31" t="s">
        <v>131</v>
      </c>
      <c r="C78" s="29">
        <f t="shared" ref="C78:Q78" si="13">SUM(C80:C117)</f>
        <v>3216.43</v>
      </c>
      <c r="D78" s="29">
        <f t="shared" si="13"/>
        <v>0</v>
      </c>
      <c r="E78" s="29">
        <f t="shared" si="13"/>
        <v>0</v>
      </c>
      <c r="F78" s="29">
        <f t="shared" si="13"/>
        <v>0</v>
      </c>
      <c r="G78" s="29">
        <f t="shared" si="13"/>
        <v>0</v>
      </c>
      <c r="H78" s="29">
        <f t="shared" si="13"/>
        <v>0</v>
      </c>
      <c r="I78" s="29">
        <f t="shared" si="13"/>
        <v>0</v>
      </c>
      <c r="J78" s="29">
        <f t="shared" si="13"/>
        <v>0</v>
      </c>
      <c r="K78" s="29">
        <f t="shared" si="13"/>
        <v>0</v>
      </c>
      <c r="L78" s="29">
        <f t="shared" si="13"/>
        <v>0</v>
      </c>
      <c r="M78" s="29">
        <f t="shared" si="13"/>
        <v>0</v>
      </c>
      <c r="N78" s="29">
        <f t="shared" si="13"/>
        <v>0</v>
      </c>
      <c r="O78" s="29">
        <f t="shared" si="13"/>
        <v>0</v>
      </c>
      <c r="P78" s="29">
        <f t="shared" si="13"/>
        <v>0</v>
      </c>
      <c r="Q78" s="29">
        <f t="shared" si="13"/>
        <v>3216.43</v>
      </c>
      <c r="R78" s="38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22"/>
      <c r="B79" s="35"/>
      <c r="C79" s="1"/>
      <c r="D79" s="33"/>
      <c r="E79" s="33"/>
      <c r="F79" s="33"/>
      <c r="G79" s="33"/>
      <c r="H79" s="33"/>
      <c r="I79" s="33"/>
      <c r="J79" s="33"/>
      <c r="K79" s="33"/>
      <c r="L79" s="34"/>
      <c r="M79" s="34"/>
      <c r="N79" s="34"/>
      <c r="O79" s="1"/>
      <c r="P79" s="39"/>
      <c r="Q79" s="39"/>
      <c r="R79" s="38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22" t="s">
        <v>132</v>
      </c>
      <c r="B80" s="35" t="s">
        <v>133</v>
      </c>
      <c r="C80" s="23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7">
        <f t="shared" ref="P80:P117" si="14">SUM(D80,E80,F80,G80,H80,I80,J80,K80,L80,M80,N80,O80)</f>
        <v>0</v>
      </c>
      <c r="Q80" s="37">
        <f t="shared" ref="Q80:Q117" si="15">C80-P80</f>
        <v>0</v>
      </c>
      <c r="R80" s="38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22" t="s">
        <v>134</v>
      </c>
      <c r="B81" s="35" t="s">
        <v>135</v>
      </c>
      <c r="C81" s="23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7">
        <f t="shared" si="14"/>
        <v>0</v>
      </c>
      <c r="Q81" s="37">
        <f t="shared" si="15"/>
        <v>0</v>
      </c>
      <c r="R81" s="38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22" t="s">
        <v>136</v>
      </c>
      <c r="B82" s="35" t="s">
        <v>137</v>
      </c>
      <c r="C82" s="23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7">
        <f t="shared" si="14"/>
        <v>0</v>
      </c>
      <c r="Q82" s="37">
        <f t="shared" si="15"/>
        <v>0</v>
      </c>
      <c r="R82" s="38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22" t="s">
        <v>138</v>
      </c>
      <c r="B83" s="35" t="s">
        <v>139</v>
      </c>
      <c r="C83" s="23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7">
        <f t="shared" si="14"/>
        <v>0</v>
      </c>
      <c r="Q83" s="37">
        <f t="shared" si="15"/>
        <v>0</v>
      </c>
      <c r="R83" s="38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22" t="s">
        <v>140</v>
      </c>
      <c r="B84" s="35" t="s">
        <v>141</v>
      </c>
      <c r="C84" s="23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7">
        <f t="shared" si="14"/>
        <v>0</v>
      </c>
      <c r="Q84" s="37">
        <f t="shared" si="15"/>
        <v>0</v>
      </c>
      <c r="R84" s="38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22" t="s">
        <v>142</v>
      </c>
      <c r="B85" s="35" t="s">
        <v>143</v>
      </c>
      <c r="C85" s="23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7">
        <f t="shared" si="14"/>
        <v>0</v>
      </c>
      <c r="Q85" s="37">
        <f t="shared" si="15"/>
        <v>0</v>
      </c>
      <c r="R85" s="38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22" t="s">
        <v>144</v>
      </c>
      <c r="B86" s="35" t="s">
        <v>145</v>
      </c>
      <c r="C86" s="23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7">
        <f t="shared" si="14"/>
        <v>0</v>
      </c>
      <c r="Q86" s="37">
        <f t="shared" si="15"/>
        <v>0</v>
      </c>
      <c r="R86" s="38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22" t="s">
        <v>146</v>
      </c>
      <c r="B87" s="35" t="s">
        <v>147</v>
      </c>
      <c r="C87" s="23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7">
        <f t="shared" si="14"/>
        <v>0</v>
      </c>
      <c r="Q87" s="37">
        <f t="shared" si="15"/>
        <v>0</v>
      </c>
      <c r="R87" s="38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22" t="s">
        <v>148</v>
      </c>
      <c r="B88" s="35" t="s">
        <v>149</v>
      </c>
      <c r="C88" s="23">
        <v>3049.77</v>
      </c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7">
        <f t="shared" si="14"/>
        <v>0</v>
      </c>
      <c r="Q88" s="37">
        <f t="shared" si="15"/>
        <v>3049.77</v>
      </c>
      <c r="R88" s="38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22" t="s">
        <v>150</v>
      </c>
      <c r="B89" s="35" t="s">
        <v>151</v>
      </c>
      <c r="C89" s="23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7">
        <f t="shared" si="14"/>
        <v>0</v>
      </c>
      <c r="Q89" s="37">
        <f t="shared" si="15"/>
        <v>0</v>
      </c>
      <c r="R89" s="38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22" t="s">
        <v>152</v>
      </c>
      <c r="B90" s="35" t="s">
        <v>153</v>
      </c>
      <c r="C90" s="23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7">
        <f t="shared" si="14"/>
        <v>0</v>
      </c>
      <c r="Q90" s="37">
        <f t="shared" si="15"/>
        <v>0</v>
      </c>
      <c r="R90" s="38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22" t="s">
        <v>154</v>
      </c>
      <c r="B91" s="35" t="s">
        <v>155</v>
      </c>
      <c r="C91" s="23">
        <v>166.66</v>
      </c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7">
        <f t="shared" si="14"/>
        <v>0</v>
      </c>
      <c r="Q91" s="37">
        <f t="shared" si="15"/>
        <v>166.66</v>
      </c>
      <c r="R91" s="38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22" t="s">
        <v>156</v>
      </c>
      <c r="B92" s="35" t="s">
        <v>157</v>
      </c>
      <c r="C92" s="23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7">
        <f t="shared" si="14"/>
        <v>0</v>
      </c>
      <c r="Q92" s="37">
        <f t="shared" si="15"/>
        <v>0</v>
      </c>
      <c r="R92" s="38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22" t="s">
        <v>158</v>
      </c>
      <c r="B93" s="35" t="s">
        <v>159</v>
      </c>
      <c r="C93" s="23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7">
        <f t="shared" si="14"/>
        <v>0</v>
      </c>
      <c r="Q93" s="37">
        <f t="shared" si="15"/>
        <v>0</v>
      </c>
      <c r="R93" s="38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22" t="s">
        <v>160</v>
      </c>
      <c r="B94" s="35" t="s">
        <v>161</v>
      </c>
      <c r="C94" s="23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7">
        <f t="shared" si="14"/>
        <v>0</v>
      </c>
      <c r="Q94" s="37">
        <f t="shared" si="15"/>
        <v>0</v>
      </c>
      <c r="R94" s="38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22" t="s">
        <v>162</v>
      </c>
      <c r="B95" s="35" t="s">
        <v>163</v>
      </c>
      <c r="C95" s="23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7">
        <f t="shared" si="14"/>
        <v>0</v>
      </c>
      <c r="Q95" s="37">
        <f t="shared" si="15"/>
        <v>0</v>
      </c>
      <c r="R95" s="38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22" t="s">
        <v>164</v>
      </c>
      <c r="B96" s="35" t="s">
        <v>165</v>
      </c>
      <c r="C96" s="23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7">
        <f t="shared" si="14"/>
        <v>0</v>
      </c>
      <c r="Q96" s="37">
        <f t="shared" si="15"/>
        <v>0</v>
      </c>
      <c r="R96" s="38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22" t="s">
        <v>166</v>
      </c>
      <c r="B97" s="35" t="s">
        <v>167</v>
      </c>
      <c r="C97" s="23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7">
        <f t="shared" si="14"/>
        <v>0</v>
      </c>
      <c r="Q97" s="37">
        <f t="shared" si="15"/>
        <v>0</v>
      </c>
      <c r="R97" s="38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22" t="s">
        <v>168</v>
      </c>
      <c r="B98" s="35" t="s">
        <v>169</v>
      </c>
      <c r="C98" s="23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7">
        <f t="shared" si="14"/>
        <v>0</v>
      </c>
      <c r="Q98" s="37">
        <f t="shared" si="15"/>
        <v>0</v>
      </c>
      <c r="R98" s="38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22" t="s">
        <v>170</v>
      </c>
      <c r="B99" s="35" t="s">
        <v>171</v>
      </c>
      <c r="C99" s="23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7">
        <f t="shared" si="14"/>
        <v>0</v>
      </c>
      <c r="Q99" s="37">
        <f t="shared" si="15"/>
        <v>0</v>
      </c>
      <c r="R99" s="38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22" t="s">
        <v>172</v>
      </c>
      <c r="B100" s="35" t="s">
        <v>173</v>
      </c>
      <c r="C100" s="23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7">
        <f t="shared" si="14"/>
        <v>0</v>
      </c>
      <c r="Q100" s="37">
        <f t="shared" si="15"/>
        <v>0</v>
      </c>
      <c r="R100" s="38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40" t="s">
        <v>174</v>
      </c>
      <c r="B101" s="35" t="s">
        <v>175</v>
      </c>
      <c r="C101" s="23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7">
        <f t="shared" si="14"/>
        <v>0</v>
      </c>
      <c r="Q101" s="37">
        <f t="shared" si="15"/>
        <v>0</v>
      </c>
      <c r="R101" s="38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40" t="s">
        <v>176</v>
      </c>
      <c r="B102" s="35" t="s">
        <v>177</v>
      </c>
      <c r="C102" s="23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7">
        <f t="shared" si="14"/>
        <v>0</v>
      </c>
      <c r="Q102" s="37">
        <f t="shared" si="15"/>
        <v>0</v>
      </c>
      <c r="R102" s="38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40" t="s">
        <v>178</v>
      </c>
      <c r="B103" s="35" t="s">
        <v>179</v>
      </c>
      <c r="C103" s="23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7">
        <f t="shared" si="14"/>
        <v>0</v>
      </c>
      <c r="Q103" s="37">
        <f t="shared" si="15"/>
        <v>0</v>
      </c>
      <c r="R103" s="38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40" t="s">
        <v>180</v>
      </c>
      <c r="B104" s="35" t="s">
        <v>181</v>
      </c>
      <c r="C104" s="23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7">
        <f t="shared" si="14"/>
        <v>0</v>
      </c>
      <c r="Q104" s="37">
        <f t="shared" si="15"/>
        <v>0</v>
      </c>
      <c r="R104" s="38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40" t="s">
        <v>182</v>
      </c>
      <c r="B105" s="35" t="s">
        <v>183</v>
      </c>
      <c r="C105" s="23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7">
        <f t="shared" si="14"/>
        <v>0</v>
      </c>
      <c r="Q105" s="37">
        <f t="shared" si="15"/>
        <v>0</v>
      </c>
      <c r="R105" s="38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40" t="s">
        <v>184</v>
      </c>
      <c r="B106" s="35" t="s">
        <v>185</v>
      </c>
      <c r="C106" s="23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7">
        <f t="shared" si="14"/>
        <v>0</v>
      </c>
      <c r="Q106" s="37">
        <f t="shared" si="15"/>
        <v>0</v>
      </c>
      <c r="R106" s="38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40" t="s">
        <v>186</v>
      </c>
      <c r="B107" s="35" t="s">
        <v>187</v>
      </c>
      <c r="C107" s="23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7">
        <f t="shared" si="14"/>
        <v>0</v>
      </c>
      <c r="Q107" s="37">
        <f t="shared" si="15"/>
        <v>0</v>
      </c>
      <c r="R107" s="38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40" t="s">
        <v>188</v>
      </c>
      <c r="B108" s="35" t="s">
        <v>189</v>
      </c>
      <c r="C108" s="23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7">
        <f t="shared" si="14"/>
        <v>0</v>
      </c>
      <c r="Q108" s="37">
        <f t="shared" si="15"/>
        <v>0</v>
      </c>
      <c r="R108" s="38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40" t="s">
        <v>190</v>
      </c>
      <c r="B109" s="35" t="s">
        <v>191</v>
      </c>
      <c r="C109" s="23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7">
        <f t="shared" si="14"/>
        <v>0</v>
      </c>
      <c r="Q109" s="37">
        <f t="shared" si="15"/>
        <v>0</v>
      </c>
      <c r="R109" s="38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40" t="s">
        <v>192</v>
      </c>
      <c r="B110" s="35" t="s">
        <v>193</v>
      </c>
      <c r="C110" s="23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7">
        <f t="shared" si="14"/>
        <v>0</v>
      </c>
      <c r="Q110" s="37">
        <f t="shared" si="15"/>
        <v>0</v>
      </c>
      <c r="R110" s="38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40" t="s">
        <v>194</v>
      </c>
      <c r="B111" s="35" t="s">
        <v>195</v>
      </c>
      <c r="C111" s="23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7">
        <f t="shared" si="14"/>
        <v>0</v>
      </c>
      <c r="Q111" s="37">
        <f t="shared" si="15"/>
        <v>0</v>
      </c>
      <c r="R111" s="38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40" t="s">
        <v>196</v>
      </c>
      <c r="B112" s="35" t="s">
        <v>197</v>
      </c>
      <c r="C112" s="23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7">
        <f t="shared" si="14"/>
        <v>0</v>
      </c>
      <c r="Q112" s="37">
        <f t="shared" si="15"/>
        <v>0</v>
      </c>
      <c r="R112" s="38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40" t="s">
        <v>198</v>
      </c>
      <c r="B113" s="35" t="s">
        <v>199</v>
      </c>
      <c r="C113" s="23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7">
        <f t="shared" si="14"/>
        <v>0</v>
      </c>
      <c r="Q113" s="37">
        <f t="shared" si="15"/>
        <v>0</v>
      </c>
      <c r="R113" s="38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40" t="s">
        <v>200</v>
      </c>
      <c r="B114" s="35" t="s">
        <v>201</v>
      </c>
      <c r="C114" s="23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7">
        <f t="shared" si="14"/>
        <v>0</v>
      </c>
      <c r="Q114" s="37">
        <f t="shared" si="15"/>
        <v>0</v>
      </c>
      <c r="R114" s="38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40" t="s">
        <v>202</v>
      </c>
      <c r="B115" s="35" t="s">
        <v>203</v>
      </c>
      <c r="C115" s="23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7">
        <f t="shared" si="14"/>
        <v>0</v>
      </c>
      <c r="Q115" s="37">
        <f t="shared" si="15"/>
        <v>0</v>
      </c>
      <c r="R115" s="38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40" t="s">
        <v>204</v>
      </c>
      <c r="B116" s="35" t="s">
        <v>205</v>
      </c>
      <c r="C116" s="23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7">
        <f t="shared" si="14"/>
        <v>0</v>
      </c>
      <c r="Q116" s="37">
        <f t="shared" si="15"/>
        <v>0</v>
      </c>
      <c r="R116" s="38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40" t="s">
        <v>206</v>
      </c>
      <c r="B117" s="35" t="s">
        <v>207</v>
      </c>
      <c r="C117" s="23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7">
        <f t="shared" si="14"/>
        <v>0</v>
      </c>
      <c r="Q117" s="37">
        <f t="shared" si="15"/>
        <v>0</v>
      </c>
      <c r="R117" s="38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22"/>
      <c r="B118" s="35"/>
      <c r="C118" s="1"/>
      <c r="D118" s="33"/>
      <c r="E118" s="33"/>
      <c r="F118" s="33"/>
      <c r="G118" s="33"/>
      <c r="H118" s="33"/>
      <c r="I118" s="33"/>
      <c r="J118" s="33"/>
      <c r="K118" s="33"/>
      <c r="L118" s="34"/>
      <c r="M118" s="34"/>
      <c r="N118" s="34"/>
      <c r="O118" s="1"/>
      <c r="P118" s="39"/>
      <c r="Q118" s="39"/>
      <c r="R118" s="38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22" t="s">
        <v>208</v>
      </c>
      <c r="B119" s="31" t="s">
        <v>209</v>
      </c>
      <c r="C119" s="29">
        <f t="shared" ref="C119:Q119" si="16">SUM(C121:C128)</f>
        <v>88000</v>
      </c>
      <c r="D119" s="29">
        <f t="shared" si="16"/>
        <v>0</v>
      </c>
      <c r="E119" s="29">
        <f t="shared" si="16"/>
        <v>0</v>
      </c>
      <c r="F119" s="29">
        <f t="shared" si="16"/>
        <v>0</v>
      </c>
      <c r="G119" s="29">
        <f t="shared" si="16"/>
        <v>0</v>
      </c>
      <c r="H119" s="29">
        <f t="shared" si="16"/>
        <v>0</v>
      </c>
      <c r="I119" s="29">
        <f t="shared" si="16"/>
        <v>0</v>
      </c>
      <c r="J119" s="29">
        <f t="shared" si="16"/>
        <v>0</v>
      </c>
      <c r="K119" s="29">
        <f t="shared" si="16"/>
        <v>0</v>
      </c>
      <c r="L119" s="29">
        <f t="shared" si="16"/>
        <v>0</v>
      </c>
      <c r="M119" s="29">
        <f t="shared" si="16"/>
        <v>0</v>
      </c>
      <c r="N119" s="29">
        <f t="shared" si="16"/>
        <v>0</v>
      </c>
      <c r="O119" s="29">
        <f t="shared" si="16"/>
        <v>0</v>
      </c>
      <c r="P119" s="29">
        <f t="shared" si="16"/>
        <v>0</v>
      </c>
      <c r="Q119" s="29">
        <f t="shared" si="16"/>
        <v>88000</v>
      </c>
      <c r="R119" s="38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22"/>
      <c r="B120" s="35"/>
      <c r="C120" s="1"/>
      <c r="D120" s="33"/>
      <c r="E120" s="33"/>
      <c r="F120" s="33"/>
      <c r="G120" s="33"/>
      <c r="H120" s="33"/>
      <c r="I120" s="33"/>
      <c r="J120" s="33"/>
      <c r="K120" s="33"/>
      <c r="L120" s="34"/>
      <c r="M120" s="34"/>
      <c r="N120" s="34"/>
      <c r="O120" s="41"/>
      <c r="P120" s="39"/>
      <c r="Q120" s="39"/>
      <c r="R120" s="38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22" t="s">
        <v>210</v>
      </c>
      <c r="B121" s="35" t="s">
        <v>211</v>
      </c>
      <c r="C121" s="23">
        <v>30000.0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7">
        <f t="shared" ref="P121:P128" si="17">SUM(D121,E121,F121,G121,H121,I121,J121,K121,L121,M121,N121,O121)</f>
        <v>0</v>
      </c>
      <c r="Q121" s="37">
        <f t="shared" ref="Q121:Q128" si="18">C121-P121</f>
        <v>30000</v>
      </c>
      <c r="R121" s="38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22" t="s">
        <v>212</v>
      </c>
      <c r="B122" s="35" t="s">
        <v>213</v>
      </c>
      <c r="C122" s="23">
        <v>0.0</v>
      </c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7">
        <f t="shared" si="17"/>
        <v>0</v>
      </c>
      <c r="Q122" s="37">
        <f t="shared" si="18"/>
        <v>0</v>
      </c>
      <c r="R122" s="38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22" t="s">
        <v>214</v>
      </c>
      <c r="B123" s="35" t="s">
        <v>215</v>
      </c>
      <c r="C123" s="23">
        <v>3000.0</v>
      </c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7">
        <f t="shared" si="17"/>
        <v>0</v>
      </c>
      <c r="Q123" s="37">
        <f t="shared" si="18"/>
        <v>3000</v>
      </c>
      <c r="R123" s="38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22" t="s">
        <v>216</v>
      </c>
      <c r="B124" s="35" t="s">
        <v>217</v>
      </c>
      <c r="C124" s="23">
        <v>0.0</v>
      </c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7">
        <f t="shared" si="17"/>
        <v>0</v>
      </c>
      <c r="Q124" s="37">
        <f t="shared" si="18"/>
        <v>0</v>
      </c>
      <c r="R124" s="38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22" t="s">
        <v>218</v>
      </c>
      <c r="B125" s="35" t="s">
        <v>219</v>
      </c>
      <c r="C125" s="23">
        <v>55000.0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7">
        <f t="shared" si="17"/>
        <v>0</v>
      </c>
      <c r="Q125" s="37">
        <f t="shared" si="18"/>
        <v>55000</v>
      </c>
      <c r="R125" s="38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22" t="s">
        <v>220</v>
      </c>
      <c r="B126" s="35" t="s">
        <v>221</v>
      </c>
      <c r="C126" s="23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7">
        <f t="shared" si="17"/>
        <v>0</v>
      </c>
      <c r="Q126" s="37">
        <f t="shared" si="18"/>
        <v>0</v>
      </c>
      <c r="R126" s="38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22" t="s">
        <v>222</v>
      </c>
      <c r="B127" s="35" t="s">
        <v>223</v>
      </c>
      <c r="C127" s="23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7">
        <f t="shared" si="17"/>
        <v>0</v>
      </c>
      <c r="Q127" s="37">
        <f t="shared" si="18"/>
        <v>0</v>
      </c>
      <c r="R127" s="38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22" t="s">
        <v>224</v>
      </c>
      <c r="B128" s="35" t="s">
        <v>225</v>
      </c>
      <c r="C128" s="23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7">
        <f t="shared" si="17"/>
        <v>0</v>
      </c>
      <c r="Q128" s="37">
        <f t="shared" si="18"/>
        <v>0</v>
      </c>
      <c r="R128" s="38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22"/>
      <c r="B129" s="35"/>
      <c r="C129" s="41"/>
      <c r="D129" s="33"/>
      <c r="E129" s="33"/>
      <c r="F129" s="33"/>
      <c r="G129" s="33"/>
      <c r="H129" s="33"/>
      <c r="I129" s="33"/>
      <c r="J129" s="33"/>
      <c r="K129" s="33"/>
      <c r="L129" s="34"/>
      <c r="M129" s="34"/>
      <c r="N129" s="34"/>
      <c r="O129" s="41"/>
      <c r="P129" s="41"/>
      <c r="Q129" s="41"/>
      <c r="R129" s="38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22" t="s">
        <v>226</v>
      </c>
      <c r="B130" s="31" t="s">
        <v>227</v>
      </c>
      <c r="C130" s="29">
        <f t="shared" ref="C130:Q130" si="19">SUM(C132)</f>
        <v>171408</v>
      </c>
      <c r="D130" s="29">
        <f t="shared" si="19"/>
        <v>0</v>
      </c>
      <c r="E130" s="29">
        <f t="shared" si="19"/>
        <v>0</v>
      </c>
      <c r="F130" s="29">
        <f t="shared" si="19"/>
        <v>0</v>
      </c>
      <c r="G130" s="29">
        <f t="shared" si="19"/>
        <v>0</v>
      </c>
      <c r="H130" s="29">
        <f t="shared" si="19"/>
        <v>0</v>
      </c>
      <c r="I130" s="29">
        <f t="shared" si="19"/>
        <v>0</v>
      </c>
      <c r="J130" s="29">
        <f t="shared" si="19"/>
        <v>0</v>
      </c>
      <c r="K130" s="29">
        <f t="shared" si="19"/>
        <v>0</v>
      </c>
      <c r="L130" s="29">
        <f t="shared" si="19"/>
        <v>0</v>
      </c>
      <c r="M130" s="29">
        <f t="shared" si="19"/>
        <v>0</v>
      </c>
      <c r="N130" s="29">
        <f t="shared" si="19"/>
        <v>0</v>
      </c>
      <c r="O130" s="29">
        <f t="shared" si="19"/>
        <v>0</v>
      </c>
      <c r="P130" s="29">
        <f t="shared" si="19"/>
        <v>0</v>
      </c>
      <c r="Q130" s="29">
        <f t="shared" si="19"/>
        <v>171408</v>
      </c>
      <c r="R130" s="38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22"/>
      <c r="B131" s="35"/>
      <c r="C131" s="41"/>
      <c r="D131" s="33"/>
      <c r="E131" s="33"/>
      <c r="F131" s="33"/>
      <c r="G131" s="33"/>
      <c r="H131" s="33"/>
      <c r="I131" s="33"/>
      <c r="J131" s="33"/>
      <c r="K131" s="33"/>
      <c r="L131" s="34"/>
      <c r="M131" s="34"/>
      <c r="N131" s="34"/>
      <c r="O131" s="41"/>
      <c r="P131" s="41"/>
      <c r="Q131" s="41"/>
      <c r="R131" s="38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22" t="s">
        <v>226</v>
      </c>
      <c r="B132" s="35" t="s">
        <v>228</v>
      </c>
      <c r="C132" s="23">
        <v>171408.0</v>
      </c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7">
        <f>SUM(D132,E132,F132,G132,H132,I132,J132,K132,L132,M132,N132,O132)</f>
        <v>0</v>
      </c>
      <c r="Q132" s="37">
        <f>C132-P132</f>
        <v>171408</v>
      </c>
      <c r="R132" s="38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22"/>
      <c r="B133" s="35"/>
      <c r="C133" s="1"/>
      <c r="D133" s="33"/>
      <c r="E133" s="33"/>
      <c r="F133" s="33"/>
      <c r="G133" s="33"/>
      <c r="H133" s="33"/>
      <c r="I133" s="33"/>
      <c r="J133" s="33"/>
      <c r="K133" s="33"/>
      <c r="L133" s="34"/>
      <c r="M133" s="34"/>
      <c r="N133" s="34"/>
      <c r="O133" s="1"/>
      <c r="P133" s="39"/>
      <c r="Q133" s="39"/>
      <c r="R133" s="38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22" t="s">
        <v>229</v>
      </c>
      <c r="B134" s="31" t="s">
        <v>230</v>
      </c>
      <c r="C134" s="29">
        <f t="shared" ref="C134:Q134" si="20">SUM(C136:C139)</f>
        <v>33000</v>
      </c>
      <c r="D134" s="29">
        <f t="shared" si="20"/>
        <v>0</v>
      </c>
      <c r="E134" s="29">
        <f t="shared" si="20"/>
        <v>0</v>
      </c>
      <c r="F134" s="29">
        <f t="shared" si="20"/>
        <v>0</v>
      </c>
      <c r="G134" s="29">
        <f t="shared" si="20"/>
        <v>0</v>
      </c>
      <c r="H134" s="29">
        <f t="shared" si="20"/>
        <v>0</v>
      </c>
      <c r="I134" s="29">
        <f t="shared" si="20"/>
        <v>0</v>
      </c>
      <c r="J134" s="29">
        <f t="shared" si="20"/>
        <v>0</v>
      </c>
      <c r="K134" s="29">
        <f t="shared" si="20"/>
        <v>0</v>
      </c>
      <c r="L134" s="29">
        <f t="shared" si="20"/>
        <v>0</v>
      </c>
      <c r="M134" s="29">
        <f t="shared" si="20"/>
        <v>0</v>
      </c>
      <c r="N134" s="29">
        <f t="shared" si="20"/>
        <v>0</v>
      </c>
      <c r="O134" s="29">
        <f t="shared" si="20"/>
        <v>0</v>
      </c>
      <c r="P134" s="29">
        <f t="shared" si="20"/>
        <v>0</v>
      </c>
      <c r="Q134" s="29">
        <f t="shared" si="20"/>
        <v>33000</v>
      </c>
      <c r="R134" s="38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22"/>
      <c r="B135" s="35"/>
      <c r="C135" s="1"/>
      <c r="D135" s="33"/>
      <c r="E135" s="33"/>
      <c r="F135" s="33"/>
      <c r="G135" s="33"/>
      <c r="H135" s="33"/>
      <c r="I135" s="33"/>
      <c r="J135" s="33"/>
      <c r="K135" s="33"/>
      <c r="L135" s="34"/>
      <c r="M135" s="34"/>
      <c r="N135" s="34"/>
      <c r="O135" s="1"/>
      <c r="P135" s="39"/>
      <c r="Q135" s="39"/>
      <c r="R135" s="38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22" t="s">
        <v>231</v>
      </c>
      <c r="B136" s="35" t="s">
        <v>232</v>
      </c>
      <c r="C136" s="23">
        <v>10000.0</v>
      </c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7">
        <f t="shared" ref="P136:P139" si="21">SUM(D136,E136,F136,G136,H136,I136,J136,K136,L136,M136,N136,O136)</f>
        <v>0</v>
      </c>
      <c r="Q136" s="37">
        <f t="shared" ref="Q136:Q139" si="22">C136-P136</f>
        <v>10000</v>
      </c>
      <c r="R136" s="38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22" t="s">
        <v>233</v>
      </c>
      <c r="B137" s="35" t="s">
        <v>234</v>
      </c>
      <c r="C137" s="23">
        <v>15000.0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7">
        <f t="shared" si="21"/>
        <v>0</v>
      </c>
      <c r="Q137" s="37">
        <f t="shared" si="22"/>
        <v>15000</v>
      </c>
      <c r="R137" s="38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22" t="s">
        <v>235</v>
      </c>
      <c r="B138" s="35" t="s">
        <v>236</v>
      </c>
      <c r="C138" s="23">
        <v>8000.0</v>
      </c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7">
        <f t="shared" si="21"/>
        <v>0</v>
      </c>
      <c r="Q138" s="37">
        <f t="shared" si="22"/>
        <v>8000</v>
      </c>
      <c r="R138" s="38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22" t="s">
        <v>237</v>
      </c>
      <c r="B139" s="35" t="s">
        <v>238</v>
      </c>
      <c r="C139" s="23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7">
        <f t="shared" si="21"/>
        <v>0</v>
      </c>
      <c r="Q139" s="37">
        <f t="shared" si="22"/>
        <v>0</v>
      </c>
      <c r="R139" s="38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22"/>
      <c r="B140" s="35"/>
      <c r="C140" s="1"/>
      <c r="D140" s="33"/>
      <c r="E140" s="33"/>
      <c r="F140" s="33"/>
      <c r="G140" s="33"/>
      <c r="H140" s="33"/>
      <c r="I140" s="33"/>
      <c r="J140" s="33"/>
      <c r="K140" s="33"/>
      <c r="L140" s="34"/>
      <c r="M140" s="34"/>
      <c r="N140" s="34"/>
      <c r="O140" s="1"/>
      <c r="P140" s="39"/>
      <c r="Q140" s="39"/>
      <c r="R140" s="38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22" t="s">
        <v>239</v>
      </c>
      <c r="B141" s="31" t="s">
        <v>240</v>
      </c>
      <c r="C141" s="29">
        <f t="shared" ref="C141:Q141" si="23">SUM(C143:C149)</f>
        <v>6000</v>
      </c>
      <c r="D141" s="29">
        <f t="shared" si="23"/>
        <v>0</v>
      </c>
      <c r="E141" s="29">
        <f t="shared" si="23"/>
        <v>0</v>
      </c>
      <c r="F141" s="29">
        <f t="shared" si="23"/>
        <v>0</v>
      </c>
      <c r="G141" s="29">
        <f t="shared" si="23"/>
        <v>0</v>
      </c>
      <c r="H141" s="29">
        <f t="shared" si="23"/>
        <v>0</v>
      </c>
      <c r="I141" s="29">
        <f t="shared" si="23"/>
        <v>0</v>
      </c>
      <c r="J141" s="29">
        <f t="shared" si="23"/>
        <v>0</v>
      </c>
      <c r="K141" s="29">
        <f t="shared" si="23"/>
        <v>0</v>
      </c>
      <c r="L141" s="29">
        <f t="shared" si="23"/>
        <v>0</v>
      </c>
      <c r="M141" s="29">
        <f t="shared" si="23"/>
        <v>0</v>
      </c>
      <c r="N141" s="29">
        <f t="shared" si="23"/>
        <v>0</v>
      </c>
      <c r="O141" s="29">
        <f t="shared" si="23"/>
        <v>0</v>
      </c>
      <c r="P141" s="29">
        <f t="shared" si="23"/>
        <v>0</v>
      </c>
      <c r="Q141" s="29">
        <f t="shared" si="23"/>
        <v>6000</v>
      </c>
      <c r="R141" s="38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22"/>
      <c r="B142" s="35"/>
      <c r="C142" s="1"/>
      <c r="D142" s="33"/>
      <c r="E142" s="33"/>
      <c r="F142" s="33"/>
      <c r="G142" s="33"/>
      <c r="H142" s="33"/>
      <c r="I142" s="33"/>
      <c r="J142" s="33"/>
      <c r="K142" s="33"/>
      <c r="L142" s="34"/>
      <c r="M142" s="34"/>
      <c r="N142" s="34"/>
      <c r="O142" s="1"/>
      <c r="P142" s="39"/>
      <c r="Q142" s="39"/>
      <c r="R142" s="38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22" t="s">
        <v>241</v>
      </c>
      <c r="B143" s="35" t="s">
        <v>242</v>
      </c>
      <c r="C143" s="23">
        <v>0.0</v>
      </c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7">
        <f t="shared" ref="P143:P149" si="24">SUM(D143,E143,F143,G143,H143,I143,J143,K143,L143,M143,N143,O143)</f>
        <v>0</v>
      </c>
      <c r="Q143" s="37">
        <f t="shared" ref="Q143:Q149" si="25">C143-P143</f>
        <v>0</v>
      </c>
      <c r="R143" s="38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22" t="s">
        <v>243</v>
      </c>
      <c r="B144" s="35" t="s">
        <v>244</v>
      </c>
      <c r="C144" s="23">
        <v>0.0</v>
      </c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7">
        <f t="shared" si="24"/>
        <v>0</v>
      </c>
      <c r="Q144" s="37">
        <f t="shared" si="25"/>
        <v>0</v>
      </c>
      <c r="R144" s="38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22" t="s">
        <v>245</v>
      </c>
      <c r="B145" s="35" t="s">
        <v>246</v>
      </c>
      <c r="C145" s="23">
        <v>0.0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7">
        <f t="shared" si="24"/>
        <v>0</v>
      </c>
      <c r="Q145" s="37">
        <f t="shared" si="25"/>
        <v>0</v>
      </c>
      <c r="R145" s="38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22" t="s">
        <v>247</v>
      </c>
      <c r="B146" s="35" t="s">
        <v>248</v>
      </c>
      <c r="C146" s="23">
        <v>0.0</v>
      </c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7">
        <f t="shared" si="24"/>
        <v>0</v>
      </c>
      <c r="Q146" s="37">
        <f t="shared" si="25"/>
        <v>0</v>
      </c>
      <c r="R146" s="38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22" t="s">
        <v>249</v>
      </c>
      <c r="B147" s="35" t="s">
        <v>250</v>
      </c>
      <c r="C147" s="23">
        <v>6000.0</v>
      </c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7">
        <f t="shared" si="24"/>
        <v>0</v>
      </c>
      <c r="Q147" s="37">
        <f t="shared" si="25"/>
        <v>6000</v>
      </c>
      <c r="R147" s="38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22" t="s">
        <v>251</v>
      </c>
      <c r="B148" s="35" t="s">
        <v>252</v>
      </c>
      <c r="C148" s="23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7">
        <f t="shared" si="24"/>
        <v>0</v>
      </c>
      <c r="Q148" s="37">
        <f t="shared" si="25"/>
        <v>0</v>
      </c>
      <c r="R148" s="38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22" t="s">
        <v>253</v>
      </c>
      <c r="B149" s="35" t="s">
        <v>254</v>
      </c>
      <c r="C149" s="23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7">
        <f t="shared" si="24"/>
        <v>0</v>
      </c>
      <c r="Q149" s="37">
        <f t="shared" si="25"/>
        <v>0</v>
      </c>
      <c r="R149" s="38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22"/>
      <c r="B150" s="35"/>
      <c r="C150" s="1"/>
      <c r="D150" s="33"/>
      <c r="E150" s="33"/>
      <c r="F150" s="33"/>
      <c r="G150" s="33"/>
      <c r="H150" s="33"/>
      <c r="I150" s="33"/>
      <c r="J150" s="33"/>
      <c r="K150" s="33"/>
      <c r="L150" s="34"/>
      <c r="M150" s="34"/>
      <c r="N150" s="34"/>
      <c r="O150" s="1"/>
      <c r="P150" s="39"/>
      <c r="Q150" s="39"/>
      <c r="R150" s="38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22" t="s">
        <v>255</v>
      </c>
      <c r="B151" s="31" t="s">
        <v>256</v>
      </c>
      <c r="C151" s="29">
        <f t="shared" ref="C151:Q151" si="26">SUM(C153:C157)</f>
        <v>31004</v>
      </c>
      <c r="D151" s="29">
        <f t="shared" si="26"/>
        <v>0</v>
      </c>
      <c r="E151" s="29">
        <f t="shared" si="26"/>
        <v>0</v>
      </c>
      <c r="F151" s="29">
        <f t="shared" si="26"/>
        <v>0</v>
      </c>
      <c r="G151" s="29">
        <f t="shared" si="26"/>
        <v>0</v>
      </c>
      <c r="H151" s="29">
        <f t="shared" si="26"/>
        <v>0</v>
      </c>
      <c r="I151" s="29">
        <f t="shared" si="26"/>
        <v>0</v>
      </c>
      <c r="J151" s="29">
        <f t="shared" si="26"/>
        <v>0</v>
      </c>
      <c r="K151" s="29">
        <f t="shared" si="26"/>
        <v>0</v>
      </c>
      <c r="L151" s="29">
        <f t="shared" si="26"/>
        <v>0</v>
      </c>
      <c r="M151" s="29">
        <f t="shared" si="26"/>
        <v>0</v>
      </c>
      <c r="N151" s="29">
        <f t="shared" si="26"/>
        <v>0</v>
      </c>
      <c r="O151" s="29">
        <f t="shared" si="26"/>
        <v>0</v>
      </c>
      <c r="P151" s="29">
        <f t="shared" si="26"/>
        <v>0</v>
      </c>
      <c r="Q151" s="29">
        <f t="shared" si="26"/>
        <v>31004</v>
      </c>
      <c r="R151" s="38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22"/>
      <c r="B152" s="35"/>
      <c r="C152" s="1"/>
      <c r="D152" s="33"/>
      <c r="E152" s="33"/>
      <c r="F152" s="33"/>
      <c r="G152" s="33"/>
      <c r="H152" s="33"/>
      <c r="I152" s="33"/>
      <c r="J152" s="33"/>
      <c r="K152" s="33"/>
      <c r="L152" s="34"/>
      <c r="M152" s="34"/>
      <c r="N152" s="34"/>
      <c r="O152" s="1"/>
      <c r="P152" s="39"/>
      <c r="Q152" s="39"/>
      <c r="R152" s="38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22" t="s">
        <v>257</v>
      </c>
      <c r="B153" s="35" t="s">
        <v>258</v>
      </c>
      <c r="C153" s="23">
        <v>20364.0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7">
        <f t="shared" ref="P153:P157" si="27">SUM(D153,E153,F153,G153,H153,I153,J153,K153,L153,M153,N153,O153)</f>
        <v>0</v>
      </c>
      <c r="Q153" s="37">
        <f t="shared" ref="Q153:Q157" si="28">C153-P153</f>
        <v>20364</v>
      </c>
      <c r="R153" s="38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22" t="s">
        <v>259</v>
      </c>
      <c r="B154" s="35" t="s">
        <v>260</v>
      </c>
      <c r="C154" s="23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7">
        <f t="shared" si="27"/>
        <v>0</v>
      </c>
      <c r="Q154" s="37">
        <f t="shared" si="28"/>
        <v>0</v>
      </c>
      <c r="R154" s="38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22" t="s">
        <v>261</v>
      </c>
      <c r="B155" s="35" t="s">
        <v>262</v>
      </c>
      <c r="C155" s="23">
        <v>4125.0</v>
      </c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7">
        <f t="shared" si="27"/>
        <v>0</v>
      </c>
      <c r="Q155" s="37">
        <f t="shared" si="28"/>
        <v>4125</v>
      </c>
      <c r="R155" s="38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22" t="s">
        <v>263</v>
      </c>
      <c r="B156" s="35" t="s">
        <v>264</v>
      </c>
      <c r="C156" s="23">
        <v>2674.0</v>
      </c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7">
        <f t="shared" si="27"/>
        <v>0</v>
      </c>
      <c r="Q156" s="37">
        <f t="shared" si="28"/>
        <v>2674</v>
      </c>
      <c r="R156" s="38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22" t="s">
        <v>265</v>
      </c>
      <c r="B157" s="35" t="s">
        <v>266</v>
      </c>
      <c r="C157" s="23">
        <v>3841.0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7">
        <f t="shared" si="27"/>
        <v>0</v>
      </c>
      <c r="Q157" s="37">
        <f t="shared" si="28"/>
        <v>3841</v>
      </c>
      <c r="R157" s="38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22"/>
      <c r="B158" s="35"/>
      <c r="C158" s="1"/>
      <c r="D158" s="33"/>
      <c r="E158" s="33"/>
      <c r="F158" s="33"/>
      <c r="G158" s="33"/>
      <c r="H158" s="33"/>
      <c r="I158" s="33"/>
      <c r="J158" s="33"/>
      <c r="K158" s="33"/>
      <c r="L158" s="34"/>
      <c r="M158" s="34"/>
      <c r="N158" s="34"/>
      <c r="O158" s="1"/>
      <c r="P158" s="39"/>
      <c r="Q158" s="39"/>
      <c r="R158" s="38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22" t="s">
        <v>267</v>
      </c>
      <c r="B159" s="31" t="s">
        <v>268</v>
      </c>
      <c r="C159" s="29">
        <f t="shared" ref="C159:Q159" si="29">SUM(C161:C166)</f>
        <v>307731</v>
      </c>
      <c r="D159" s="29">
        <f t="shared" si="29"/>
        <v>0</v>
      </c>
      <c r="E159" s="29">
        <f t="shared" si="29"/>
        <v>0</v>
      </c>
      <c r="F159" s="29">
        <f t="shared" si="29"/>
        <v>0</v>
      </c>
      <c r="G159" s="29">
        <f t="shared" si="29"/>
        <v>0</v>
      </c>
      <c r="H159" s="29">
        <f t="shared" si="29"/>
        <v>0</v>
      </c>
      <c r="I159" s="29">
        <f t="shared" si="29"/>
        <v>0</v>
      </c>
      <c r="J159" s="29">
        <f t="shared" si="29"/>
        <v>0</v>
      </c>
      <c r="K159" s="29">
        <f t="shared" si="29"/>
        <v>0</v>
      </c>
      <c r="L159" s="29">
        <f t="shared" si="29"/>
        <v>0</v>
      </c>
      <c r="M159" s="29">
        <f t="shared" si="29"/>
        <v>0</v>
      </c>
      <c r="N159" s="29">
        <f t="shared" si="29"/>
        <v>0</v>
      </c>
      <c r="O159" s="29">
        <f t="shared" si="29"/>
        <v>0</v>
      </c>
      <c r="P159" s="29">
        <f t="shared" si="29"/>
        <v>0</v>
      </c>
      <c r="Q159" s="29">
        <f t="shared" si="29"/>
        <v>307731</v>
      </c>
      <c r="R159" s="38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22"/>
      <c r="B160" s="35"/>
      <c r="C160" s="1"/>
      <c r="D160" s="33"/>
      <c r="E160" s="33"/>
      <c r="F160" s="33"/>
      <c r="G160" s="33"/>
      <c r="H160" s="33"/>
      <c r="I160" s="33"/>
      <c r="J160" s="33"/>
      <c r="K160" s="33"/>
      <c r="L160" s="34"/>
      <c r="M160" s="34"/>
      <c r="N160" s="34"/>
      <c r="O160" s="1"/>
      <c r="P160" s="39"/>
      <c r="Q160" s="39"/>
      <c r="R160" s="38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22" t="s">
        <v>269</v>
      </c>
      <c r="B161" s="35" t="s">
        <v>270</v>
      </c>
      <c r="C161" s="23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7">
        <f t="shared" ref="P161:P166" si="30">SUM(D161,E161,F161,G161,H161,I161,J161,K161,L161,M161,N161,O161)</f>
        <v>0</v>
      </c>
      <c r="Q161" s="37">
        <f t="shared" ref="Q161:Q166" si="31">C161-P161</f>
        <v>0</v>
      </c>
      <c r="R161" s="38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22" t="s">
        <v>271</v>
      </c>
      <c r="B162" s="35" t="s">
        <v>272</v>
      </c>
      <c r="C162" s="23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7">
        <f t="shared" si="30"/>
        <v>0</v>
      </c>
      <c r="Q162" s="37">
        <f t="shared" si="31"/>
        <v>0</v>
      </c>
      <c r="R162" s="38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22" t="s">
        <v>273</v>
      </c>
      <c r="B163" s="35" t="s">
        <v>274</v>
      </c>
      <c r="C163" s="23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7">
        <f t="shared" si="30"/>
        <v>0</v>
      </c>
      <c r="Q163" s="37">
        <f t="shared" si="31"/>
        <v>0</v>
      </c>
      <c r="R163" s="38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22" t="s">
        <v>275</v>
      </c>
      <c r="B164" s="35" t="s">
        <v>276</v>
      </c>
      <c r="C164" s="23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7">
        <f t="shared" si="30"/>
        <v>0</v>
      </c>
      <c r="Q164" s="37">
        <f t="shared" si="31"/>
        <v>0</v>
      </c>
      <c r="R164" s="38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22" t="s">
        <v>277</v>
      </c>
      <c r="B165" s="35" t="s">
        <v>278</v>
      </c>
      <c r="C165" s="23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7">
        <f t="shared" si="30"/>
        <v>0</v>
      </c>
      <c r="Q165" s="37">
        <f t="shared" si="31"/>
        <v>0</v>
      </c>
      <c r="R165" s="38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22" t="s">
        <v>279</v>
      </c>
      <c r="B166" s="35" t="s">
        <v>280</v>
      </c>
      <c r="C166" s="23">
        <v>307731.0</v>
      </c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7">
        <f t="shared" si="30"/>
        <v>0</v>
      </c>
      <c r="Q166" s="37">
        <f t="shared" si="31"/>
        <v>307731</v>
      </c>
      <c r="R166" s="38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22"/>
      <c r="B167" s="35"/>
      <c r="C167" s="1"/>
      <c r="D167" s="33"/>
      <c r="E167" s="33"/>
      <c r="F167" s="33"/>
      <c r="G167" s="33"/>
      <c r="H167" s="33"/>
      <c r="I167" s="33"/>
      <c r="J167" s="33"/>
      <c r="K167" s="33"/>
      <c r="L167" s="34"/>
      <c r="M167" s="34"/>
      <c r="N167" s="34"/>
      <c r="O167" s="1"/>
      <c r="P167" s="39"/>
      <c r="Q167" s="39"/>
      <c r="R167" s="38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22" t="s">
        <v>281</v>
      </c>
      <c r="B168" s="31" t="s">
        <v>282</v>
      </c>
      <c r="C168" s="29">
        <f t="shared" ref="C168:Q168" si="32">SUM(C170)</f>
        <v>0</v>
      </c>
      <c r="D168" s="29">
        <f t="shared" si="32"/>
        <v>0</v>
      </c>
      <c r="E168" s="29">
        <f t="shared" si="32"/>
        <v>0</v>
      </c>
      <c r="F168" s="29">
        <f t="shared" si="32"/>
        <v>0</v>
      </c>
      <c r="G168" s="29">
        <f t="shared" si="32"/>
        <v>0</v>
      </c>
      <c r="H168" s="29">
        <f t="shared" si="32"/>
        <v>0</v>
      </c>
      <c r="I168" s="29">
        <f t="shared" si="32"/>
        <v>0</v>
      </c>
      <c r="J168" s="29">
        <f t="shared" si="32"/>
        <v>0</v>
      </c>
      <c r="K168" s="29">
        <f t="shared" si="32"/>
        <v>0</v>
      </c>
      <c r="L168" s="29">
        <f t="shared" si="32"/>
        <v>0</v>
      </c>
      <c r="M168" s="29">
        <f t="shared" si="32"/>
        <v>0</v>
      </c>
      <c r="N168" s="29">
        <f t="shared" si="32"/>
        <v>0</v>
      </c>
      <c r="O168" s="29">
        <f t="shared" si="32"/>
        <v>0</v>
      </c>
      <c r="P168" s="29">
        <f t="shared" si="32"/>
        <v>0</v>
      </c>
      <c r="Q168" s="29">
        <f t="shared" si="32"/>
        <v>0</v>
      </c>
      <c r="R168" s="38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22"/>
      <c r="B169" s="35"/>
      <c r="C169" s="1"/>
      <c r="D169" s="33"/>
      <c r="E169" s="33"/>
      <c r="F169" s="33"/>
      <c r="G169" s="33"/>
      <c r="H169" s="33"/>
      <c r="I169" s="33"/>
      <c r="J169" s="33"/>
      <c r="K169" s="33"/>
      <c r="L169" s="34"/>
      <c r="M169" s="34"/>
      <c r="N169" s="34"/>
      <c r="O169" s="1"/>
      <c r="P169" s="39"/>
      <c r="Q169" s="39"/>
      <c r="R169" s="38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22" t="s">
        <v>281</v>
      </c>
      <c r="B170" s="35" t="s">
        <v>283</v>
      </c>
      <c r="C170" s="23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7">
        <f>SUM(D170,E170,F170,G170,H170,I170,J170,K170,L170,M170,N170,O170)</f>
        <v>0</v>
      </c>
      <c r="Q170" s="37">
        <f>C170-P170</f>
        <v>0</v>
      </c>
      <c r="R170" s="38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22"/>
      <c r="B171" s="35"/>
      <c r="C171" s="1"/>
      <c r="D171" s="33"/>
      <c r="E171" s="33"/>
      <c r="F171" s="33"/>
      <c r="G171" s="33"/>
      <c r="H171" s="33"/>
      <c r="I171" s="33"/>
      <c r="J171" s="33"/>
      <c r="K171" s="33"/>
      <c r="L171" s="34"/>
      <c r="M171" s="34"/>
      <c r="N171" s="34"/>
      <c r="O171" s="1"/>
      <c r="P171" s="39"/>
      <c r="Q171" s="39"/>
      <c r="R171" s="38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22" t="s">
        <v>284</v>
      </c>
      <c r="B172" s="31" t="s">
        <v>285</v>
      </c>
      <c r="C172" s="29">
        <f t="shared" ref="C172:Q172" si="33">SUM(C174:C180)</f>
        <v>0</v>
      </c>
      <c r="D172" s="29">
        <f t="shared" si="33"/>
        <v>0</v>
      </c>
      <c r="E172" s="29">
        <f t="shared" si="33"/>
        <v>0</v>
      </c>
      <c r="F172" s="29">
        <f t="shared" si="33"/>
        <v>0</v>
      </c>
      <c r="G172" s="29">
        <f t="shared" si="33"/>
        <v>0</v>
      </c>
      <c r="H172" s="29">
        <f t="shared" si="33"/>
        <v>0</v>
      </c>
      <c r="I172" s="29">
        <f t="shared" si="33"/>
        <v>0</v>
      </c>
      <c r="J172" s="29">
        <f t="shared" si="33"/>
        <v>0</v>
      </c>
      <c r="K172" s="29">
        <f t="shared" si="33"/>
        <v>0</v>
      </c>
      <c r="L172" s="29">
        <f t="shared" si="33"/>
        <v>0</v>
      </c>
      <c r="M172" s="29">
        <f t="shared" si="33"/>
        <v>0</v>
      </c>
      <c r="N172" s="29">
        <f t="shared" si="33"/>
        <v>0</v>
      </c>
      <c r="O172" s="29">
        <f t="shared" si="33"/>
        <v>0</v>
      </c>
      <c r="P172" s="29">
        <f t="shared" si="33"/>
        <v>0</v>
      </c>
      <c r="Q172" s="29">
        <f t="shared" si="33"/>
        <v>0</v>
      </c>
      <c r="R172" s="38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22"/>
      <c r="B173" s="31"/>
      <c r="C173" s="1"/>
      <c r="D173" s="33"/>
      <c r="E173" s="33"/>
      <c r="F173" s="33"/>
      <c r="G173" s="33"/>
      <c r="H173" s="33"/>
      <c r="I173" s="33"/>
      <c r="J173" s="33"/>
      <c r="K173" s="33"/>
      <c r="L173" s="34"/>
      <c r="M173" s="34"/>
      <c r="N173" s="34"/>
      <c r="O173" s="1"/>
      <c r="P173" s="39"/>
      <c r="Q173" s="39"/>
      <c r="R173" s="38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22" t="s">
        <v>286</v>
      </c>
      <c r="B174" s="35" t="s">
        <v>287</v>
      </c>
      <c r="C174" s="23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7">
        <f t="shared" ref="P174:P180" si="34">SUM(D174,E174,F174,G174,H174,I174,J174,K174,L174,M174,N174,O174)</f>
        <v>0</v>
      </c>
      <c r="Q174" s="37">
        <f t="shared" ref="Q174:Q180" si="35">C174-P174</f>
        <v>0</v>
      </c>
      <c r="R174" s="38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22" t="s">
        <v>288</v>
      </c>
      <c r="B175" s="35" t="s">
        <v>289</v>
      </c>
      <c r="C175" s="23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7">
        <f t="shared" si="34"/>
        <v>0</v>
      </c>
      <c r="Q175" s="37">
        <f t="shared" si="35"/>
        <v>0</v>
      </c>
      <c r="R175" s="38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22" t="s">
        <v>290</v>
      </c>
      <c r="B176" s="35" t="s">
        <v>291</v>
      </c>
      <c r="C176" s="23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7">
        <f t="shared" si="34"/>
        <v>0</v>
      </c>
      <c r="Q176" s="37">
        <f t="shared" si="35"/>
        <v>0</v>
      </c>
      <c r="R176" s="38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22" t="s">
        <v>292</v>
      </c>
      <c r="B177" s="35" t="s">
        <v>293</v>
      </c>
      <c r="C177" s="23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7">
        <f t="shared" si="34"/>
        <v>0</v>
      </c>
      <c r="Q177" s="37">
        <f t="shared" si="35"/>
        <v>0</v>
      </c>
      <c r="R177" s="38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22" t="s">
        <v>294</v>
      </c>
      <c r="B178" s="35" t="s">
        <v>295</v>
      </c>
      <c r="C178" s="23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7">
        <f t="shared" si="34"/>
        <v>0</v>
      </c>
      <c r="Q178" s="37">
        <f t="shared" si="35"/>
        <v>0</v>
      </c>
      <c r="R178" s="38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22" t="s">
        <v>296</v>
      </c>
      <c r="B179" s="35" t="s">
        <v>297</v>
      </c>
      <c r="C179" s="23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7">
        <f t="shared" si="34"/>
        <v>0</v>
      </c>
      <c r="Q179" s="37">
        <f t="shared" si="35"/>
        <v>0</v>
      </c>
      <c r="R179" s="38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22" t="s">
        <v>298</v>
      </c>
      <c r="B180" s="35" t="s">
        <v>299</v>
      </c>
      <c r="C180" s="23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7">
        <f t="shared" si="34"/>
        <v>0</v>
      </c>
      <c r="Q180" s="37">
        <f t="shared" si="35"/>
        <v>0</v>
      </c>
      <c r="R180" s="38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22"/>
      <c r="B181" s="35"/>
      <c r="C181" s="39"/>
      <c r="D181" s="33"/>
      <c r="E181" s="33"/>
      <c r="F181" s="33"/>
      <c r="G181" s="33"/>
      <c r="H181" s="33"/>
      <c r="I181" s="33"/>
      <c r="J181" s="33"/>
      <c r="K181" s="33"/>
      <c r="L181" s="34"/>
      <c r="M181" s="34"/>
      <c r="N181" s="34"/>
      <c r="O181" s="39"/>
      <c r="P181" s="39"/>
      <c r="Q181" s="39"/>
      <c r="R181" s="38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22" t="s">
        <v>300</v>
      </c>
      <c r="B182" s="31" t="s">
        <v>301</v>
      </c>
      <c r="C182" s="29">
        <f t="shared" ref="C182:Q182" si="36">SUM(C184)</f>
        <v>0</v>
      </c>
      <c r="D182" s="29">
        <f t="shared" si="36"/>
        <v>0</v>
      </c>
      <c r="E182" s="29">
        <f t="shared" si="36"/>
        <v>0</v>
      </c>
      <c r="F182" s="29">
        <f t="shared" si="36"/>
        <v>0</v>
      </c>
      <c r="G182" s="29">
        <f t="shared" si="36"/>
        <v>0</v>
      </c>
      <c r="H182" s="29">
        <f t="shared" si="36"/>
        <v>0</v>
      </c>
      <c r="I182" s="29">
        <f t="shared" si="36"/>
        <v>0</v>
      </c>
      <c r="J182" s="29">
        <f t="shared" si="36"/>
        <v>0</v>
      </c>
      <c r="K182" s="29">
        <f t="shared" si="36"/>
        <v>0</v>
      </c>
      <c r="L182" s="29">
        <f t="shared" si="36"/>
        <v>0</v>
      </c>
      <c r="M182" s="29">
        <f t="shared" si="36"/>
        <v>0</v>
      </c>
      <c r="N182" s="29">
        <f t="shared" si="36"/>
        <v>0</v>
      </c>
      <c r="O182" s="29">
        <f t="shared" si="36"/>
        <v>0</v>
      </c>
      <c r="P182" s="29">
        <f t="shared" si="36"/>
        <v>0</v>
      </c>
      <c r="Q182" s="29">
        <f t="shared" si="36"/>
        <v>0</v>
      </c>
      <c r="R182" s="38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22"/>
      <c r="B183" s="35"/>
      <c r="C183" s="41"/>
      <c r="D183" s="33"/>
      <c r="E183" s="33"/>
      <c r="F183" s="33"/>
      <c r="G183" s="33"/>
      <c r="H183" s="33"/>
      <c r="I183" s="33"/>
      <c r="J183" s="33"/>
      <c r="K183" s="33"/>
      <c r="L183" s="34"/>
      <c r="M183" s="34"/>
      <c r="N183" s="34"/>
      <c r="O183" s="41"/>
      <c r="P183" s="41"/>
      <c r="Q183" s="41"/>
      <c r="R183" s="38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22" t="s">
        <v>300</v>
      </c>
      <c r="B184" s="35" t="s">
        <v>302</v>
      </c>
      <c r="C184" s="23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7">
        <f>SUM(D184,E184,F184,G184,H184,I184,J184,K184,L184,M184,N184,O184)</f>
        <v>0</v>
      </c>
      <c r="Q184" s="37">
        <f>C184-P184</f>
        <v>0</v>
      </c>
      <c r="R184" s="38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22"/>
      <c r="B185" s="35"/>
      <c r="C185" s="39"/>
      <c r="D185" s="33"/>
      <c r="E185" s="33"/>
      <c r="F185" s="33"/>
      <c r="G185" s="33"/>
      <c r="H185" s="33"/>
      <c r="I185" s="33"/>
      <c r="J185" s="33"/>
      <c r="K185" s="33"/>
      <c r="L185" s="34"/>
      <c r="M185" s="34"/>
      <c r="N185" s="34"/>
      <c r="O185" s="39"/>
      <c r="P185" s="39"/>
      <c r="Q185" s="39"/>
      <c r="R185" s="38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22"/>
      <c r="B186" s="31" t="s">
        <v>303</v>
      </c>
      <c r="C186" s="29">
        <f t="shared" ref="C186:Q186" si="37">SUM(C188:C192)</f>
        <v>0</v>
      </c>
      <c r="D186" s="29">
        <f t="shared" si="37"/>
        <v>0</v>
      </c>
      <c r="E186" s="29">
        <f t="shared" si="37"/>
        <v>0</v>
      </c>
      <c r="F186" s="29">
        <f t="shared" si="37"/>
        <v>0</v>
      </c>
      <c r="G186" s="29">
        <f t="shared" si="37"/>
        <v>0</v>
      </c>
      <c r="H186" s="29">
        <f t="shared" si="37"/>
        <v>0</v>
      </c>
      <c r="I186" s="29">
        <f t="shared" si="37"/>
        <v>0</v>
      </c>
      <c r="J186" s="29">
        <f t="shared" si="37"/>
        <v>0</v>
      </c>
      <c r="K186" s="29">
        <f t="shared" si="37"/>
        <v>0</v>
      </c>
      <c r="L186" s="29">
        <f t="shared" si="37"/>
        <v>0</v>
      </c>
      <c r="M186" s="29">
        <f t="shared" si="37"/>
        <v>0</v>
      </c>
      <c r="N186" s="29">
        <f t="shared" si="37"/>
        <v>0</v>
      </c>
      <c r="O186" s="29">
        <f t="shared" si="37"/>
        <v>0</v>
      </c>
      <c r="P186" s="29">
        <f t="shared" si="37"/>
        <v>0</v>
      </c>
      <c r="Q186" s="29">
        <f t="shared" si="37"/>
        <v>0</v>
      </c>
      <c r="R186" s="38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22"/>
      <c r="B187" s="35"/>
      <c r="C187" s="39"/>
      <c r="D187" s="33"/>
      <c r="E187" s="33"/>
      <c r="F187" s="33"/>
      <c r="G187" s="33"/>
      <c r="H187" s="33"/>
      <c r="I187" s="33"/>
      <c r="J187" s="33"/>
      <c r="K187" s="33"/>
      <c r="L187" s="34"/>
      <c r="M187" s="34"/>
      <c r="N187" s="34"/>
      <c r="O187" s="39"/>
      <c r="P187" s="39"/>
      <c r="Q187" s="39"/>
      <c r="R187" s="38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40" t="s">
        <v>304</v>
      </c>
      <c r="B188" s="35" t="s">
        <v>305</v>
      </c>
      <c r="C188" s="23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7">
        <f t="shared" ref="P188:P192" si="38">SUM(D188,E188,F188,G188,H188,I188,J188,K188,L188,M188,N188,O188)</f>
        <v>0</v>
      </c>
      <c r="Q188" s="37">
        <f t="shared" ref="Q188:Q192" si="39">C188-P188</f>
        <v>0</v>
      </c>
      <c r="R188" s="38"/>
      <c r="S188" s="32"/>
      <c r="T188" s="3"/>
      <c r="U188" s="3"/>
      <c r="V188" s="3"/>
      <c r="W188" s="3"/>
      <c r="X188" s="3"/>
      <c r="Y188" s="3"/>
      <c r="Z188" s="3"/>
    </row>
    <row r="189" ht="12.75" customHeight="1">
      <c r="A189" s="40" t="s">
        <v>306</v>
      </c>
      <c r="B189" s="35" t="s">
        <v>307</v>
      </c>
      <c r="C189" s="23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7">
        <f t="shared" si="38"/>
        <v>0</v>
      </c>
      <c r="Q189" s="37">
        <f t="shared" si="39"/>
        <v>0</v>
      </c>
      <c r="R189" s="38"/>
      <c r="S189" s="32"/>
      <c r="T189" s="3"/>
      <c r="U189" s="3"/>
      <c r="V189" s="3"/>
      <c r="W189" s="3"/>
      <c r="X189" s="3"/>
      <c r="Y189" s="3"/>
      <c r="Z189" s="3"/>
    </row>
    <row r="190" ht="12.75" customHeight="1">
      <c r="A190" s="40" t="s">
        <v>308</v>
      </c>
      <c r="B190" s="35" t="s">
        <v>309</v>
      </c>
      <c r="C190" s="23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7">
        <f t="shared" si="38"/>
        <v>0</v>
      </c>
      <c r="Q190" s="37">
        <f t="shared" si="39"/>
        <v>0</v>
      </c>
      <c r="R190" s="38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40" t="s">
        <v>310</v>
      </c>
      <c r="B191" s="35" t="s">
        <v>311</v>
      </c>
      <c r="C191" s="23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7">
        <f t="shared" si="38"/>
        <v>0</v>
      </c>
      <c r="Q191" s="37">
        <f t="shared" si="39"/>
        <v>0</v>
      </c>
      <c r="R191" s="38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40" t="s">
        <v>312</v>
      </c>
      <c r="B192" s="35" t="s">
        <v>313</v>
      </c>
      <c r="C192" s="23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7">
        <f t="shared" si="38"/>
        <v>0</v>
      </c>
      <c r="Q192" s="37">
        <f t="shared" si="39"/>
        <v>0</v>
      </c>
      <c r="R192" s="38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22"/>
      <c r="B193" s="35"/>
      <c r="C193" s="1"/>
      <c r="D193" s="33"/>
      <c r="E193" s="33"/>
      <c r="F193" s="3"/>
      <c r="G193" s="33"/>
      <c r="H193" s="3"/>
      <c r="I193" s="3"/>
      <c r="J193" s="3"/>
      <c r="K193" s="3"/>
      <c r="L193" s="34"/>
      <c r="M193" s="34"/>
      <c r="N193" s="34"/>
      <c r="O193" s="1"/>
      <c r="P193" s="39"/>
      <c r="Q193" s="39"/>
      <c r="R193" s="38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22"/>
      <c r="B194" s="42" t="s">
        <v>314</v>
      </c>
      <c r="C194" s="29">
        <f t="shared" ref="C194:Q194" si="40">SUM(C26,C48,C55,C78,C119,C130,C134,C141,C151,C159,C168,C172,C182,C186)</f>
        <v>1548088.972</v>
      </c>
      <c r="D194" s="29">
        <f t="shared" si="40"/>
        <v>0</v>
      </c>
      <c r="E194" s="29">
        <f t="shared" si="40"/>
        <v>0</v>
      </c>
      <c r="F194" s="29">
        <f t="shared" si="40"/>
        <v>0</v>
      </c>
      <c r="G194" s="29">
        <f t="shared" si="40"/>
        <v>0</v>
      </c>
      <c r="H194" s="29">
        <f t="shared" si="40"/>
        <v>0</v>
      </c>
      <c r="I194" s="29">
        <f t="shared" si="40"/>
        <v>0</v>
      </c>
      <c r="J194" s="29">
        <f t="shared" si="40"/>
        <v>0</v>
      </c>
      <c r="K194" s="29">
        <f t="shared" si="40"/>
        <v>0</v>
      </c>
      <c r="L194" s="29">
        <f t="shared" si="40"/>
        <v>0</v>
      </c>
      <c r="M194" s="29">
        <f t="shared" si="40"/>
        <v>0</v>
      </c>
      <c r="N194" s="29">
        <f t="shared" si="40"/>
        <v>0</v>
      </c>
      <c r="O194" s="29">
        <f t="shared" si="40"/>
        <v>0</v>
      </c>
      <c r="P194" s="29">
        <f t="shared" si="40"/>
        <v>0</v>
      </c>
      <c r="Q194" s="29">
        <f t="shared" si="40"/>
        <v>1548088.972</v>
      </c>
      <c r="R194" s="38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22"/>
      <c r="B195" s="42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32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22" t="s">
        <v>315</v>
      </c>
      <c r="B196" s="31" t="s">
        <v>316</v>
      </c>
      <c r="C196" s="29">
        <f>SUM(C198:C205)</f>
        <v>0</v>
      </c>
      <c r="D196" s="29">
        <f t="shared" ref="D196:Q196" si="41">SUM(D198:D206)</f>
        <v>0</v>
      </c>
      <c r="E196" s="29">
        <f t="shared" si="41"/>
        <v>0</v>
      </c>
      <c r="F196" s="29">
        <f t="shared" si="41"/>
        <v>0</v>
      </c>
      <c r="G196" s="29">
        <f t="shared" si="41"/>
        <v>0</v>
      </c>
      <c r="H196" s="29">
        <f t="shared" si="41"/>
        <v>0</v>
      </c>
      <c r="I196" s="29">
        <f t="shared" si="41"/>
        <v>0</v>
      </c>
      <c r="J196" s="29">
        <f t="shared" si="41"/>
        <v>0</v>
      </c>
      <c r="K196" s="29">
        <f t="shared" si="41"/>
        <v>0</v>
      </c>
      <c r="L196" s="29">
        <f t="shared" si="41"/>
        <v>0</v>
      </c>
      <c r="M196" s="29">
        <f t="shared" si="41"/>
        <v>0</v>
      </c>
      <c r="N196" s="29">
        <f t="shared" si="41"/>
        <v>0</v>
      </c>
      <c r="O196" s="29">
        <f t="shared" si="41"/>
        <v>0</v>
      </c>
      <c r="P196" s="29">
        <f t="shared" si="41"/>
        <v>0</v>
      </c>
      <c r="Q196" s="29">
        <f t="shared" si="41"/>
        <v>0</v>
      </c>
      <c r="R196" s="32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22"/>
      <c r="B197" s="35"/>
      <c r="C197" s="1"/>
      <c r="D197" s="34"/>
      <c r="E197" s="34"/>
      <c r="F197" s="34"/>
      <c r="G197" s="34"/>
      <c r="H197" s="34"/>
      <c r="I197" s="34"/>
      <c r="J197" s="1"/>
      <c r="K197" s="1"/>
      <c r="L197" s="1"/>
      <c r="M197" s="1"/>
      <c r="N197" s="1"/>
      <c r="O197" s="1"/>
      <c r="P197" s="39"/>
      <c r="Q197" s="39"/>
      <c r="R197" s="32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22" t="s">
        <v>317</v>
      </c>
      <c r="B198" s="35" t="s">
        <v>318</v>
      </c>
      <c r="C198" s="23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7">
        <f t="shared" ref="P198:P205" si="42">SUM(D198,E198,F198,G198,H198,I198,J198,K198,L198,M198,N198,O198)</f>
        <v>0</v>
      </c>
      <c r="Q198" s="37">
        <f t="shared" ref="Q198:Q205" si="43">C198-P198</f>
        <v>0</v>
      </c>
      <c r="R198" s="32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22" t="s">
        <v>319</v>
      </c>
      <c r="B199" s="35" t="s">
        <v>320</v>
      </c>
      <c r="C199" s="23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7">
        <f t="shared" si="42"/>
        <v>0</v>
      </c>
      <c r="Q199" s="37">
        <f t="shared" si="43"/>
        <v>0</v>
      </c>
      <c r="R199" s="32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22" t="s">
        <v>321</v>
      </c>
      <c r="B200" s="35" t="s">
        <v>322</v>
      </c>
      <c r="C200" s="23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7">
        <f t="shared" si="42"/>
        <v>0</v>
      </c>
      <c r="Q200" s="37">
        <f t="shared" si="43"/>
        <v>0</v>
      </c>
      <c r="R200" s="32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22" t="s">
        <v>323</v>
      </c>
      <c r="B201" s="35" t="s">
        <v>324</v>
      </c>
      <c r="C201" s="23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7">
        <f t="shared" si="42"/>
        <v>0</v>
      </c>
      <c r="Q201" s="37">
        <f t="shared" si="43"/>
        <v>0</v>
      </c>
      <c r="R201" s="32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22" t="s">
        <v>325</v>
      </c>
      <c r="B202" s="35" t="s">
        <v>326</v>
      </c>
      <c r="C202" s="23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7">
        <f t="shared" si="42"/>
        <v>0</v>
      </c>
      <c r="Q202" s="37">
        <f t="shared" si="43"/>
        <v>0</v>
      </c>
      <c r="R202" s="32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22" t="s">
        <v>327</v>
      </c>
      <c r="B203" s="35" t="s">
        <v>328</v>
      </c>
      <c r="C203" s="23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7">
        <f t="shared" si="42"/>
        <v>0</v>
      </c>
      <c r="Q203" s="37">
        <f t="shared" si="43"/>
        <v>0</v>
      </c>
      <c r="R203" s="32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22" t="s">
        <v>329</v>
      </c>
      <c r="B204" s="35" t="s">
        <v>330</v>
      </c>
      <c r="C204" s="23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7">
        <f t="shared" si="42"/>
        <v>0</v>
      </c>
      <c r="Q204" s="37">
        <f t="shared" si="43"/>
        <v>0</v>
      </c>
      <c r="R204" s="32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22" t="s">
        <v>331</v>
      </c>
      <c r="B205" s="35" t="s">
        <v>332</v>
      </c>
      <c r="C205" s="43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7">
        <f t="shared" si="42"/>
        <v>0</v>
      </c>
      <c r="Q205" s="37">
        <f t="shared" si="43"/>
        <v>0</v>
      </c>
      <c r="R205" s="32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22"/>
      <c r="B206" s="35"/>
      <c r="C206" s="1"/>
      <c r="D206" s="34"/>
      <c r="E206" s="34"/>
      <c r="F206" s="34"/>
      <c r="G206" s="34"/>
      <c r="H206" s="34"/>
      <c r="I206" s="34"/>
      <c r="J206" s="1"/>
      <c r="K206" s="1"/>
      <c r="L206" s="1"/>
      <c r="M206" s="1"/>
      <c r="N206" s="1"/>
      <c r="O206" s="1"/>
      <c r="P206" s="39"/>
      <c r="Q206" s="39"/>
      <c r="R206" s="32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22"/>
      <c r="B207" s="35"/>
      <c r="C207" s="1"/>
      <c r="D207" s="3"/>
      <c r="E207" s="3"/>
      <c r="F207" s="3"/>
      <c r="G207" s="3"/>
      <c r="H207" s="3"/>
      <c r="I207" s="3"/>
      <c r="J207" s="1"/>
      <c r="K207" s="1"/>
      <c r="L207" s="1"/>
      <c r="M207" s="1"/>
      <c r="N207" s="1"/>
      <c r="O207" s="1"/>
      <c r="P207" s="39"/>
      <c r="Q207" s="39"/>
      <c r="R207" s="39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1"/>
      <c r="B208" s="1"/>
      <c r="C208" s="30"/>
      <c r="D208" s="30"/>
      <c r="E208" s="30"/>
      <c r="F208" s="30"/>
      <c r="G208" s="30"/>
      <c r="H208" s="30"/>
      <c r="I208" s="30"/>
      <c r="J208" s="30"/>
      <c r="K208" s="30"/>
      <c r="L208" s="1"/>
      <c r="M208" s="1"/>
      <c r="N208" s="1"/>
      <c r="O208" s="3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1"/>
      <c r="B209" s="1"/>
      <c r="C209" s="30"/>
      <c r="D209" s="44"/>
      <c r="E209" s="44"/>
      <c r="F209" s="44"/>
      <c r="G209" s="44"/>
      <c r="H209" s="44"/>
      <c r="I209" s="1"/>
      <c r="J209" s="1"/>
      <c r="K209" s="1"/>
      <c r="L209" s="1"/>
      <c r="M209" s="1"/>
      <c r="N209" s="1"/>
      <c r="O209" s="1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1"/>
      <c r="B210" s="1"/>
      <c r="C210" s="30"/>
      <c r="D210" s="30"/>
      <c r="E210" s="30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32"/>
      <c r="Q210" s="32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1"/>
      <c r="B212" s="1"/>
      <c r="C212" s="1"/>
      <c r="D212" s="30"/>
      <c r="E212" s="30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1"/>
      <c r="B213" s="1"/>
      <c r="C213" s="1"/>
      <c r="D213" s="30"/>
      <c r="E213" s="30"/>
      <c r="F213" s="30"/>
      <c r="G213" s="45"/>
      <c r="H213" s="30"/>
      <c r="I213" s="30"/>
      <c r="J213" s="1"/>
      <c r="K213" s="1"/>
      <c r="L213" s="1"/>
      <c r="M213" s="1"/>
      <c r="N213" s="1"/>
      <c r="O213" s="1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E2:F2"/>
    <mergeCell ref="H2:I2"/>
    <mergeCell ref="K2:L2"/>
    <mergeCell ref="E3:F3"/>
    <mergeCell ref="H3:I3"/>
    <mergeCell ref="K3:L3"/>
  </mergeCells>
  <conditionalFormatting sqref="C23 P23:Q23 Q10:Q21">
    <cfRule type="cellIs" dxfId="0" priority="1" stopIfTrue="1" operator="lessThan">
      <formula>0</formula>
    </cfRule>
  </conditionalFormatting>
  <printOptions horizontalCentered="1"/>
  <pageMargins bottom="0.393700787401575" footer="0.0" header="0.0" left="0.17" right="0.17" top="0.393700787401575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2026-07-29T14:50:38Z</dcterms:created>
  <dc:creator>Chiung-Yu Lin</dc:creator>
</cp:coreProperties>
</file>